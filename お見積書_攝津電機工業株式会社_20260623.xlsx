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富士炉材株式会社様リニューアル" sheetId="1" state="visible" r:id="rId1"/>
  </sheets>
  <definedNames>
    <definedName name="_xlnm.Print_Area" localSheetId="0">'富士炉材株式会社様リニューアル'!$A$1:$K$53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¥&quot;#,##0;&quot;¥&quot;\-#,##0"/>
    <numFmt numFmtId="165" formatCode="&quot;¥&quot;#,##0_);[Red]\(&quot;¥&quot;#,##0\)"/>
  </numFmts>
  <fonts count="27">
    <font>
      <name val="游ゴシック"/>
      <charset val="128"/>
      <family val="2"/>
      <color theme="1"/>
      <sz val="12"/>
      <scheme val="minor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sz val="12"/>
    </font>
    <font>
      <name val="ＭＳ Ｐ明朝"/>
      <charset val="128"/>
      <family val="1"/>
      <sz val="10"/>
    </font>
    <font>
      <name val="ＭＳ Ｐ明朝"/>
      <charset val="128"/>
      <family val="1"/>
      <sz val="11"/>
    </font>
    <font>
      <name val="ＭＳ Ｐ明朝"/>
      <charset val="128"/>
      <family val="1"/>
      <sz val="9"/>
    </font>
    <font>
      <name val="游ゴシック"/>
      <charset val="128"/>
      <family val="3"/>
      <sz val="11"/>
    </font>
    <font>
      <name val="Yu Gothic UI"/>
      <charset val="128"/>
      <family val="3"/>
      <b val="1"/>
      <sz val="16"/>
    </font>
    <font>
      <name val="Yu Gothic UI"/>
      <charset val="128"/>
      <family val="3"/>
      <b val="1"/>
      <sz val="9"/>
    </font>
    <font>
      <name val="Yu Gothic UI"/>
      <charset val="128"/>
      <family val="3"/>
      <b val="1"/>
      <sz val="18"/>
    </font>
    <font>
      <name val="Yu Gothic UI"/>
      <charset val="128"/>
      <family val="3"/>
      <b val="1"/>
      <sz val="11"/>
    </font>
    <font>
      <name val="Yu Gothic UI"/>
      <charset val="128"/>
      <family val="3"/>
      <sz val="11"/>
    </font>
    <font>
      <name val="Yu Gothic UI"/>
      <charset val="128"/>
      <family val="3"/>
      <sz val="12"/>
    </font>
    <font>
      <name val="Yu Gothic UI"/>
      <charset val="128"/>
      <family val="3"/>
      <sz val="10"/>
    </font>
    <font>
      <name val="Yu Gothic UI"/>
      <charset val="128"/>
      <family val="3"/>
      <sz val="14"/>
    </font>
    <font>
      <name val="Yu Gothic UI"/>
      <charset val="128"/>
      <family val="3"/>
      <color theme="1"/>
      <sz val="11"/>
    </font>
    <font>
      <name val="Yu Gothic UI"/>
      <charset val="128"/>
      <family val="3"/>
      <sz val="9"/>
    </font>
    <font>
      <name val="Yu Gothic UI"/>
      <charset val="128"/>
      <family val="3"/>
      <color theme="1"/>
      <sz val="14"/>
    </font>
    <font>
      <name val="Yu Gothic UI"/>
      <charset val="128"/>
      <family val="3"/>
      <b val="1"/>
      <sz val="13"/>
    </font>
    <font>
      <name val="Yu Gothic UI"/>
      <charset val="128"/>
      <family val="3"/>
      <b val="1"/>
      <sz val="14"/>
    </font>
    <font>
      <name val="Yu Gothic UI"/>
      <charset val="128"/>
      <family val="3"/>
      <b val="1"/>
      <sz val="12"/>
    </font>
    <font>
      <name val="Yu Gothic UI"/>
      <charset val="128"/>
      <family val="3"/>
      <color theme="1"/>
      <sz val="9"/>
    </font>
    <font>
      <name val="Yu Gothic UI"/>
      <charset val="128"/>
      <family val="3"/>
      <color rgb="FFFF0000"/>
      <sz val="9"/>
    </font>
    <font>
      <name val="ＭＳ Ｐゴシック"/>
      <charset val="128"/>
      <family val="3"/>
      <color theme="10"/>
      <sz val="11"/>
      <u val="single"/>
    </font>
    <font>
      <name val="Yu Gothic UI"/>
      <charset val="128"/>
      <family val="3"/>
      <color theme="1"/>
      <sz val="12"/>
    </font>
    <font>
      <name val="Yu Gothic UI"/>
      <charset val="128"/>
      <family val="3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51" applyAlignment="1">
      <alignment vertical="center"/>
    </xf>
    <xf numFmtId="0" fontId="1" fillId="0" borderId="51" applyAlignment="1">
      <alignment vertical="center"/>
    </xf>
    <xf numFmtId="0" fontId="1" fillId="0" borderId="51"/>
    <xf numFmtId="6" fontId="1" fillId="0" borderId="51"/>
    <xf numFmtId="0" fontId="24" fillId="0" borderId="51" applyAlignment="1">
      <alignment vertical="center"/>
    </xf>
  </cellStyleXfs>
  <cellXfs count="26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 shrinkToFit="1"/>
    </xf>
    <xf numFmtId="0" fontId="9" fillId="0" borderId="0" applyAlignment="1" pivotButton="0" quotePrefix="0" xfId="1">
      <alignment horizontal="center" vertical="center" shrinkToFit="1"/>
    </xf>
    <xf numFmtId="0" fontId="10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5" fillId="0" borderId="0" applyAlignment="1" pivotButton="0" quotePrefix="0" xfId="1">
      <alignment horizontal="left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1">
      <alignment horizontal="center" vertical="center" shrinkToFit="1"/>
    </xf>
    <xf numFmtId="0" fontId="14" fillId="0" borderId="0" applyAlignment="1" pivotButton="0" quotePrefix="0" xfId="1">
      <alignment horizontal="left" vertical="center"/>
    </xf>
    <xf numFmtId="0" fontId="18" fillId="0" borderId="0" applyAlignment="1" pivotButton="0" quotePrefix="0" xfId="0">
      <alignment vertical="center"/>
    </xf>
    <xf numFmtId="0" fontId="17" fillId="0" borderId="0" applyAlignment="1" pivotButton="0" quotePrefix="0" xfId="1">
      <alignment vertical="center"/>
    </xf>
    <xf numFmtId="0" fontId="14" fillId="0" borderId="0" applyAlignment="1" pivotButton="0" quotePrefix="0" xfId="1">
      <alignment vertical="center"/>
    </xf>
    <xf numFmtId="0" fontId="17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vertical="center"/>
    </xf>
    <xf numFmtId="0" fontId="20" fillId="0" borderId="1" applyAlignment="1" pivotButton="0" quotePrefix="0" xfId="1">
      <alignment vertical="center"/>
    </xf>
    <xf numFmtId="0" fontId="12" fillId="2" borderId="3" applyAlignment="1" pivotButton="0" quotePrefix="0" xfId="1">
      <alignment horizontal="center" vertical="center" shrinkToFit="1"/>
    </xf>
    <xf numFmtId="0" fontId="12" fillId="2" borderId="5" applyAlignment="1" pivotButton="0" quotePrefix="0" xfId="1">
      <alignment horizontal="center" vertical="center" shrinkToFit="1"/>
    </xf>
    <xf numFmtId="0" fontId="17" fillId="0" borderId="8" applyAlignment="1" pivotButton="0" quotePrefix="0" xfId="1">
      <alignment vertical="center" shrinkToFit="1"/>
    </xf>
    <xf numFmtId="0" fontId="17" fillId="0" borderId="13" applyAlignment="1" pivotButton="0" quotePrefix="0" xfId="1">
      <alignment vertical="center" shrinkToFit="1"/>
    </xf>
    <xf numFmtId="0" fontId="17" fillId="0" borderId="17" applyAlignment="1" pivotButton="0" quotePrefix="0" xfId="1">
      <alignment vertical="center" shrinkToFit="1"/>
    </xf>
    <xf numFmtId="164" fontId="17" fillId="0" borderId="33" applyAlignment="1" pivotButton="0" quotePrefix="0" xfId="1">
      <alignment horizontal="center" vertical="center"/>
    </xf>
    <xf numFmtId="164" fontId="17" fillId="0" borderId="30" applyAlignment="1" pivotButton="0" quotePrefix="0" xfId="1">
      <alignment horizontal="center" vertical="center"/>
    </xf>
    <xf numFmtId="0" fontId="17" fillId="0" borderId="24" applyAlignment="1" pivotButton="0" quotePrefix="0" xfId="1">
      <alignment vertical="center" shrinkToFit="1"/>
    </xf>
    <xf numFmtId="164" fontId="17" fillId="0" borderId="27" applyAlignment="1" pivotButton="0" quotePrefix="0" xfId="1">
      <alignment horizontal="center" vertical="center"/>
    </xf>
    <xf numFmtId="0" fontId="17" fillId="0" borderId="36" applyAlignment="1" pivotButton="0" quotePrefix="0" xfId="1">
      <alignment vertical="center" shrinkToFit="1"/>
    </xf>
    <xf numFmtId="0" fontId="17" fillId="0" borderId="40" applyAlignment="1" pivotButton="0" quotePrefix="0" xfId="1">
      <alignment horizontal="left" vertical="center" shrinkToFit="1"/>
    </xf>
    <xf numFmtId="0" fontId="14" fillId="0" borderId="6" applyAlignment="1" pivotButton="0" quotePrefix="0" xfId="1">
      <alignment vertical="top"/>
    </xf>
    <xf numFmtId="0" fontId="14" fillId="0" borderId="0" applyAlignment="1" pivotButton="0" quotePrefix="0" xfId="1">
      <alignment vertical="top"/>
    </xf>
    <xf numFmtId="0" fontId="17" fillId="0" borderId="36" applyAlignment="1" pivotButton="0" quotePrefix="0" xfId="1">
      <alignment horizontal="left" vertical="center" shrinkToFit="1"/>
    </xf>
    <xf numFmtId="0" fontId="12" fillId="0" borderId="3" applyAlignment="1" pivotButton="0" quotePrefix="0" xfId="0">
      <alignment horizontal="center" vertical="center" shrinkToFit="1"/>
    </xf>
    <xf numFmtId="0" fontId="17" fillId="0" borderId="40" applyAlignment="1" pivotButton="0" quotePrefix="0" xfId="0">
      <alignment horizontal="left" vertical="center" shrinkToFit="1"/>
    </xf>
    <xf numFmtId="0" fontId="17" fillId="0" borderId="13" applyAlignment="1" pivotButton="0" quotePrefix="0" xfId="0">
      <alignment horizontal="left" vertical="center" wrapText="1" shrinkToFit="1"/>
    </xf>
    <xf numFmtId="0" fontId="17" fillId="0" borderId="36" applyAlignment="1" pivotButton="0" quotePrefix="0" xfId="0">
      <alignment horizontal="left" vertical="center" wrapText="1" shrinkToFit="1"/>
    </xf>
    <xf numFmtId="164" fontId="17" fillId="0" borderId="30" applyAlignment="1" pivotButton="0" quotePrefix="0" xfId="0">
      <alignment horizontal="center" vertical="center"/>
    </xf>
    <xf numFmtId="164" fontId="17" fillId="0" borderId="33" applyAlignment="1" pivotButton="0" quotePrefix="0" xfId="0">
      <alignment horizontal="center" vertical="center"/>
    </xf>
    <xf numFmtId="164" fontId="20" fillId="0" borderId="44" applyAlignment="1" pivotButton="0" quotePrefix="0" xfId="0">
      <alignment horizontal="center" vertical="center"/>
    </xf>
    <xf numFmtId="0" fontId="17" fillId="0" borderId="0" applyAlignment="1" pivotButton="0" quotePrefix="0" xfId="1">
      <alignment horizontal="center" vertical="center"/>
    </xf>
    <xf numFmtId="0" fontId="17" fillId="0" borderId="40" applyAlignment="1" pivotButton="0" quotePrefix="0" xfId="1">
      <alignment vertical="center" shrinkToFit="1"/>
    </xf>
    <xf numFmtId="164" fontId="17" fillId="0" borderId="12" applyAlignment="1" pivotButton="0" quotePrefix="0" xfId="1">
      <alignment horizontal="center" vertical="center"/>
    </xf>
    <xf numFmtId="0" fontId="0" fillId="0" borderId="51" pivotButton="0" quotePrefix="0" xfId="0"/>
    <xf numFmtId="0" fontId="5" fillId="0" borderId="51" applyAlignment="1" pivotButton="0" quotePrefix="0" xfId="1">
      <alignment vertical="center"/>
    </xf>
    <xf numFmtId="0" fontId="14" fillId="0" borderId="0" applyAlignment="1" pivotButton="0" quotePrefix="0" xfId="0">
      <alignment vertical="top"/>
    </xf>
    <xf numFmtId="0" fontId="1" fillId="0" borderId="51" applyAlignment="1" pivotButton="0" quotePrefix="0" xfId="1">
      <alignment vertical="center"/>
    </xf>
    <xf numFmtId="0" fontId="14" fillId="0" borderId="51" applyAlignment="1" pivotButton="0" quotePrefix="0" xfId="1">
      <alignment vertical="top"/>
    </xf>
    <xf numFmtId="0" fontId="17" fillId="0" borderId="51" applyAlignment="1" pivotButton="0" quotePrefix="0" xfId="1">
      <alignment horizontal="center" vertical="center"/>
    </xf>
    <xf numFmtId="164" fontId="17" fillId="0" borderId="51" applyAlignment="1" pivotButton="0" quotePrefix="0" xfId="1">
      <alignment horizontal="center" vertical="center"/>
    </xf>
    <xf numFmtId="0" fontId="7" fillId="0" borderId="51" applyAlignment="1" pivotButton="0" quotePrefix="0" xfId="1">
      <alignment vertical="center"/>
    </xf>
    <xf numFmtId="0" fontId="17" fillId="0" borderId="51" applyAlignment="1" pivotButton="0" quotePrefix="0" xfId="1">
      <alignment horizontal="left" vertical="top" wrapText="1"/>
    </xf>
    <xf numFmtId="0" fontId="21" fillId="0" borderId="51" applyAlignment="1" pivotButton="0" quotePrefix="0" xfId="1">
      <alignment horizontal="center" vertical="center"/>
    </xf>
    <xf numFmtId="164" fontId="20" fillId="0" borderId="51" applyAlignment="1" pivotButton="0" quotePrefix="0" xfId="1">
      <alignment horizontal="center" vertical="center"/>
    </xf>
    <xf numFmtId="0" fontId="17" fillId="0" borderId="8" applyAlignment="1" pivotButton="0" quotePrefix="0" xfId="0">
      <alignment horizontal="left" vertical="center" shrinkToFit="1"/>
    </xf>
    <xf numFmtId="0" fontId="12" fillId="0" borderId="5" applyAlignment="1" pivotButton="0" quotePrefix="0" xfId="1">
      <alignment horizontal="center" vertical="center" shrinkToFit="1"/>
    </xf>
    <xf numFmtId="0" fontId="17" fillId="0" borderId="51" applyAlignment="1" pivotButton="0" quotePrefix="0" xfId="0">
      <alignment horizontal="left" vertical="center" wrapText="1" shrinkToFit="1"/>
    </xf>
    <xf numFmtId="0" fontId="17" fillId="0" borderId="51" applyAlignment="1" pivotButton="0" quotePrefix="0" xfId="0">
      <alignment horizontal="center" vertical="center" shrinkToFit="1"/>
    </xf>
    <xf numFmtId="164" fontId="17" fillId="0" borderId="51" applyAlignment="1" pivotButton="0" quotePrefix="0" xfId="0">
      <alignment horizontal="center" vertical="center"/>
    </xf>
    <xf numFmtId="0" fontId="17" fillId="0" borderId="51" applyAlignment="1" pivotButton="0" quotePrefix="0" xfId="0">
      <alignment horizontal="left" vertical="top" wrapText="1"/>
    </xf>
    <xf numFmtId="0" fontId="17" fillId="0" borderId="51" applyAlignment="1" pivotButton="0" quotePrefix="0" xfId="0">
      <alignment horizontal="center" vertical="center"/>
    </xf>
    <xf numFmtId="0" fontId="21" fillId="0" borderId="51" applyAlignment="1" pivotButton="0" quotePrefix="0" xfId="0">
      <alignment horizontal="center" vertical="center"/>
    </xf>
    <xf numFmtId="164" fontId="20" fillId="0" borderId="51" applyAlignment="1" pivotButton="0" quotePrefix="0" xfId="0">
      <alignment horizontal="center" vertical="center"/>
    </xf>
    <xf numFmtId="164" fontId="17" fillId="0" borderId="14" applyAlignment="1" pivotButton="0" quotePrefix="0" xfId="0">
      <alignment horizontal="center" vertical="center"/>
    </xf>
    <xf numFmtId="165" fontId="17" fillId="0" borderId="23" applyAlignment="1" pivotButton="0" quotePrefix="0" xfId="1">
      <alignment horizontal="center" vertical="center"/>
    </xf>
    <xf numFmtId="165" fontId="22" fillId="0" borderId="33" applyAlignment="1" pivotButton="0" quotePrefix="0" xfId="0">
      <alignment horizontal="center"/>
    </xf>
    <xf numFmtId="165" fontId="22" fillId="0" borderId="39" applyAlignment="1" pivotButton="0" quotePrefix="0" xfId="0">
      <alignment horizontal="center"/>
    </xf>
    <xf numFmtId="0" fontId="14" fillId="0" borderId="6" applyAlignment="1" pivotButton="0" quotePrefix="0" xfId="0">
      <alignment horizontal="left" vertical="top" wrapText="1"/>
    </xf>
    <xf numFmtId="0" fontId="12" fillId="0" borderId="51" applyAlignment="1" pivotButton="0" quotePrefix="0" xfId="1">
      <alignment vertical="center"/>
    </xf>
    <xf numFmtId="0" fontId="25" fillId="0" borderId="51" pivotButton="0" quotePrefix="0" xfId="0"/>
    <xf numFmtId="0" fontId="23" fillId="0" borderId="17" applyAlignment="1" pivotButton="0" quotePrefix="0" xfId="1">
      <alignment vertical="center" shrinkToFit="1"/>
    </xf>
    <xf numFmtId="164" fontId="23" fillId="0" borderId="19" applyAlignment="1" pivotButton="0" quotePrefix="0" xfId="0">
      <alignment horizontal="center" vertical="center"/>
    </xf>
    <xf numFmtId="0" fontId="14" fillId="0" borderId="51" applyAlignment="1" pivotButton="0" quotePrefix="0" xfId="0">
      <alignment vertical="top"/>
    </xf>
    <xf numFmtId="0" fontId="17" fillId="0" borderId="50" applyAlignment="1" pivotButton="0" quotePrefix="0" xfId="1">
      <alignment horizontal="left" vertical="center" shrinkToFit="1"/>
    </xf>
    <xf numFmtId="0" fontId="17" fillId="0" borderId="50" applyAlignment="1" pivotButton="0" quotePrefix="0" xfId="1">
      <alignment horizontal="center" vertical="center"/>
    </xf>
    <xf numFmtId="0" fontId="25" fillId="0" borderId="50" pivotButton="0" quotePrefix="0" xfId="0"/>
    <xf numFmtId="164" fontId="17" fillId="0" borderId="50" applyAlignment="1" pivotButton="0" quotePrefix="0" xfId="1">
      <alignment horizontal="center" vertical="center"/>
    </xf>
    <xf numFmtId="164" fontId="17" fillId="0" borderId="12" applyAlignment="1" pivotButton="0" quotePrefix="0" xfId="0">
      <alignment horizontal="center" vertical="center"/>
    </xf>
    <xf numFmtId="164" fontId="17" fillId="0" borderId="14" applyAlignment="1" pivotButton="0" quotePrefix="0" xfId="0">
      <alignment horizontal="center" vertical="center"/>
    </xf>
    <xf numFmtId="164" fontId="17" fillId="0" borderId="39" applyAlignment="1" pivotButton="0" quotePrefix="0" xfId="0">
      <alignment horizontal="center" vertical="center"/>
    </xf>
    <xf numFmtId="0" fontId="12" fillId="2" borderId="3" applyAlignment="1" pivotButton="0" quotePrefix="0" xfId="1">
      <alignment horizontal="center" vertical="center" shrinkToFit="1"/>
    </xf>
    <xf numFmtId="0" fontId="25" fillId="0" borderId="4" pivotButton="0" quotePrefix="0" xfId="0"/>
    <xf numFmtId="0" fontId="25" fillId="0" borderId="2" pivotButton="0" quotePrefix="0" xfId="0"/>
    <xf numFmtId="164" fontId="17" fillId="0" borderId="8" applyAlignment="1" pivotButton="0" quotePrefix="0" xfId="1">
      <alignment horizontal="center" vertical="center"/>
    </xf>
    <xf numFmtId="0" fontId="25" fillId="0" borderId="32" pivotButton="0" quotePrefix="0" xfId="0"/>
    <xf numFmtId="0" fontId="25" fillId="0" borderId="31" pivotButton="0" quotePrefix="0" xfId="0"/>
    <xf numFmtId="0" fontId="17" fillId="0" borderId="17" applyAlignment="1" pivotButton="0" quotePrefix="0" xfId="1">
      <alignment horizontal="center" vertical="center"/>
    </xf>
    <xf numFmtId="0" fontId="25" fillId="0" borderId="16" pivotButton="0" quotePrefix="0" xfId="0"/>
    <xf numFmtId="0" fontId="17" fillId="0" borderId="24" applyAlignment="1" pivotButton="0" quotePrefix="0" xfId="1">
      <alignment horizontal="center" vertical="center" shrinkToFit="1"/>
    </xf>
    <xf numFmtId="0" fontId="25" fillId="0" borderId="25" pivotButton="0" quotePrefix="0" xfId="0"/>
    <xf numFmtId="0" fontId="17" fillId="0" borderId="8" applyAlignment="1" pivotButton="0" quotePrefix="0" xfId="0">
      <alignment horizontal="center" vertical="center" shrinkToFit="1"/>
    </xf>
    <xf numFmtId="0" fontId="17" fillId="0" borderId="13" applyAlignment="1" pivotButton="0" quotePrefix="0" xfId="1">
      <alignment horizontal="center" vertical="center"/>
    </xf>
    <xf numFmtId="0" fontId="25" fillId="0" borderId="29" pivotButton="0" quotePrefix="0" xfId="0"/>
    <xf numFmtId="0" fontId="25" fillId="0" borderId="28" pivotButton="0" quotePrefix="0" xfId="0"/>
    <xf numFmtId="0" fontId="17" fillId="0" borderId="1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shrinkToFit="1"/>
    </xf>
    <xf numFmtId="164" fontId="17" fillId="0" borderId="20" applyAlignment="1" pivotButton="0" quotePrefix="0" xfId="1">
      <alignment horizontal="center" vertical="center"/>
    </xf>
    <xf numFmtId="0" fontId="25" fillId="0" borderId="11" pivotButton="0" quotePrefix="0" xfId="0"/>
    <xf numFmtId="0" fontId="25" fillId="0" borderId="10" pivotButton="0" quotePrefix="0" xfId="0"/>
    <xf numFmtId="0" fontId="17" fillId="0" borderId="24" applyAlignment="1" pivotButton="0" quotePrefix="0" xfId="0">
      <alignment horizontal="center" vertical="center" shrinkToFit="1"/>
    </xf>
    <xf numFmtId="0" fontId="17" fillId="0" borderId="55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17" fillId="0" borderId="37" applyAlignment="1" pivotButton="0" quotePrefix="0" xfId="0">
      <alignment horizontal="center" vertical="center"/>
    </xf>
    <xf numFmtId="0" fontId="17" fillId="0" borderId="35" applyAlignment="1" pivotButton="0" quotePrefix="0" xfId="0">
      <alignment horizontal="center" vertical="center"/>
    </xf>
    <xf numFmtId="164" fontId="17" fillId="0" borderId="55" applyAlignment="1" pivotButton="0" quotePrefix="0" xfId="0">
      <alignment horizontal="center" vertical="center"/>
    </xf>
    <xf numFmtId="164" fontId="17" fillId="0" borderId="11" applyAlignment="1" pivotButton="0" quotePrefix="0" xfId="0">
      <alignment horizontal="center" vertical="center"/>
    </xf>
    <xf numFmtId="164" fontId="17" fillId="0" borderId="10" applyAlignment="1" pivotButton="0" quotePrefix="0" xfId="0">
      <alignment horizontal="center" vertical="center"/>
    </xf>
    <xf numFmtId="164" fontId="17" fillId="0" borderId="9" applyAlignment="1" pivotButton="0" quotePrefix="0" xfId="0">
      <alignment horizontal="center" vertical="center"/>
    </xf>
    <xf numFmtId="164" fontId="17" fillId="0" borderId="51" applyAlignment="1" pivotButton="0" quotePrefix="0" xfId="0">
      <alignment horizontal="center" vertical="center"/>
    </xf>
    <xf numFmtId="164" fontId="17" fillId="0" borderId="7" applyAlignment="1" pivotButton="0" quotePrefix="0" xfId="0">
      <alignment horizontal="center" vertical="center"/>
    </xf>
    <xf numFmtId="164" fontId="17" fillId="0" borderId="37" applyAlignment="1" pivotButton="0" quotePrefix="0" xfId="0">
      <alignment horizontal="center" vertical="center"/>
    </xf>
    <xf numFmtId="164" fontId="17" fillId="0" borderId="38" applyAlignment="1" pivotButton="0" quotePrefix="0" xfId="0">
      <alignment horizontal="center" vertical="center"/>
    </xf>
    <xf numFmtId="164" fontId="17" fillId="0" borderId="35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/>
    </xf>
    <xf numFmtId="0" fontId="21" fillId="0" borderId="43" applyAlignment="1" pivotButton="0" quotePrefix="0" xfId="0">
      <alignment horizontal="center" vertical="center"/>
    </xf>
    <xf numFmtId="0" fontId="25" fillId="0" borderId="48" pivotButton="0" quotePrefix="0" xfId="0"/>
    <xf numFmtId="0" fontId="25" fillId="0" borderId="47" pivotButton="0" quotePrefix="0" xfId="0"/>
    <xf numFmtId="0" fontId="17" fillId="0" borderId="8" applyAlignment="1" pivotButton="0" quotePrefix="0" xfId="1">
      <alignment horizontal="center" vertical="center" shrinkToFit="1"/>
    </xf>
    <xf numFmtId="0" fontId="17" fillId="0" borderId="24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vertical="center"/>
    </xf>
    <xf numFmtId="0" fontId="17" fillId="0" borderId="52" applyAlignment="1" pivotButton="0" quotePrefix="0" xfId="0">
      <alignment horizontal="center" vertical="center" shrinkToFit="1"/>
    </xf>
    <xf numFmtId="0" fontId="25" fillId="0" borderId="7" pivotButton="0" quotePrefix="0" xfId="0"/>
    <xf numFmtId="0" fontId="25" fillId="0" borderId="6" pivotButton="0" quotePrefix="0" xfId="0"/>
    <xf numFmtId="164" fontId="17" fillId="0" borderId="15" applyAlignment="1" pivotButton="0" quotePrefix="0" xfId="1">
      <alignment horizontal="center" vertical="center"/>
    </xf>
    <xf numFmtId="0" fontId="25" fillId="0" borderId="51" pivotButton="0" quotePrefix="0" xfId="0"/>
    <xf numFmtId="0" fontId="17" fillId="0" borderId="45" applyAlignment="1" pivotButton="0" quotePrefix="0" xfId="1">
      <alignment horizontal="center" vertical="center" wrapText="1"/>
    </xf>
    <xf numFmtId="0" fontId="25" fillId="0" borderId="34" pivotButton="0" quotePrefix="0" xfId="0"/>
    <xf numFmtId="0" fontId="25" fillId="0" borderId="35" pivotButton="0" quotePrefix="0" xfId="0"/>
    <xf numFmtId="0" fontId="17" fillId="0" borderId="15" applyAlignment="1" pivotButton="0" quotePrefix="0" xfId="0">
      <alignment horizontal="center" vertical="center"/>
    </xf>
    <xf numFmtId="0" fontId="12" fillId="2" borderId="49" applyAlignment="1" pivotButton="0" quotePrefix="0" xfId="1">
      <alignment horizontal="center" vertical="center" shrinkToFit="1"/>
    </xf>
    <xf numFmtId="164" fontId="17" fillId="0" borderId="40" applyAlignment="1" pivotButton="0" quotePrefix="0" xfId="1">
      <alignment horizontal="center" vertical="center"/>
    </xf>
    <xf numFmtId="0" fontId="25" fillId="0" borderId="9" pivotButton="0" quotePrefix="0" xfId="0"/>
    <xf numFmtId="0" fontId="12" fillId="0" borderId="51" applyAlignment="1" pivotButton="0" quotePrefix="0" xfId="1">
      <alignment vertical="center"/>
    </xf>
    <xf numFmtId="0" fontId="25" fillId="0" borderId="37" pivotButton="0" quotePrefix="0" xfId="0"/>
    <xf numFmtId="0" fontId="25" fillId="0" borderId="38" pivotButton="0" quotePrefix="0" xfId="0"/>
    <xf numFmtId="0" fontId="17" fillId="0" borderId="36" applyAlignment="1" pivotButton="0" quotePrefix="0" xfId="1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26" fillId="0" borderId="16" pivotButton="0" quotePrefix="0" xfId="0"/>
    <xf numFmtId="0" fontId="12" fillId="0" borderId="3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left" vertical="center"/>
    </xf>
    <xf numFmtId="0" fontId="13" fillId="0" borderId="0" applyAlignment="1" pivotButton="0" quotePrefix="0" xfId="1">
      <alignment horizontal="left" vertical="center"/>
    </xf>
    <xf numFmtId="0" fontId="23" fillId="0" borderId="17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vertical="center"/>
    </xf>
    <xf numFmtId="0" fontId="17" fillId="0" borderId="17" applyAlignment="1" pivotButton="0" quotePrefix="0" xfId="1">
      <alignment horizontal="center" vertical="center" shrinkToFit="1"/>
    </xf>
    <xf numFmtId="164" fontId="17" fillId="0" borderId="24" applyAlignment="1" pivotButton="0" quotePrefix="0" xfId="1">
      <alignment horizontal="center" vertical="center"/>
    </xf>
    <xf numFmtId="0" fontId="25" fillId="0" borderId="26" pivotButton="0" quotePrefix="0" xfId="0"/>
    <xf numFmtId="0" fontId="15" fillId="0" borderId="1" applyAlignment="1" pivotButton="0" quotePrefix="0" xfId="1">
      <alignment horizontal="left" vertical="center"/>
    </xf>
    <xf numFmtId="0" fontId="25" fillId="0" borderId="1" pivotButton="0" quotePrefix="0" xfId="0"/>
    <xf numFmtId="164" fontId="17" fillId="0" borderId="23" applyAlignment="1" pivotButton="0" quotePrefix="0" xfId="1">
      <alignment horizontal="center" vertical="center"/>
    </xf>
    <xf numFmtId="0" fontId="25" fillId="0" borderId="14" pivotButton="0" quotePrefix="0" xfId="0"/>
    <xf numFmtId="0" fontId="25" fillId="0" borderId="30" pivotButton="0" quotePrefix="0" xfId="0"/>
    <xf numFmtId="0" fontId="17" fillId="0" borderId="8" applyAlignment="1" pivotButton="0" quotePrefix="0" xfId="1">
      <alignment horizontal="center" vertical="center"/>
    </xf>
    <xf numFmtId="0" fontId="17" fillId="0" borderId="46" applyAlignment="1" pivotButton="0" quotePrefix="0" xfId="1">
      <alignment horizontal="left" vertical="top" wrapText="1"/>
    </xf>
    <xf numFmtId="0" fontId="25" fillId="0" borderId="41" pivotButton="0" quotePrefix="0" xfId="0"/>
    <xf numFmtId="0" fontId="25" fillId="0" borderId="42" pivotButton="0" quotePrefix="0" xfId="0"/>
    <xf numFmtId="0" fontId="17" fillId="0" borderId="15" applyAlignment="1" pivotButton="0" quotePrefix="0" xfId="0">
      <alignment horizontal="center" vertical="center" shrinkToFit="1"/>
    </xf>
    <xf numFmtId="0" fontId="20" fillId="0" borderId="1" applyAlignment="1" pivotButton="0" quotePrefix="0" xfId="0">
      <alignment horizontal="left" vertical="center"/>
    </xf>
    <xf numFmtId="0" fontId="12" fillId="0" borderId="1" applyAlignment="1" pivotButton="0" quotePrefix="0" xfId="1">
      <alignment vertical="center"/>
    </xf>
    <xf numFmtId="0" fontId="17" fillId="0" borderId="53" applyAlignment="1" pivotButton="0" quotePrefix="0" xfId="0">
      <alignment horizontal="center" vertical="center" wrapText="1"/>
    </xf>
    <xf numFmtId="0" fontId="17" fillId="0" borderId="40" applyAlignment="1" pivotButton="0" quotePrefix="0" xfId="1">
      <alignment horizontal="center" vertical="center"/>
    </xf>
    <xf numFmtId="0" fontId="20" fillId="0" borderId="1" applyAlignment="1" pivotButton="0" quotePrefix="0" xfId="1">
      <alignment horizontal="left" vertical="center"/>
    </xf>
    <xf numFmtId="0" fontId="17" fillId="0" borderId="8" applyAlignment="1" pivotButton="0" quotePrefix="0" xfId="0">
      <alignment horizontal="center" vertical="center"/>
    </xf>
    <xf numFmtId="0" fontId="17" fillId="0" borderId="40" applyAlignment="1" pivotButton="0" quotePrefix="0" xfId="1">
      <alignment horizontal="center" vertical="center" shrinkToFit="1"/>
    </xf>
    <xf numFmtId="0" fontId="25" fillId="0" borderId="21" pivotButton="0" quotePrefix="0" xfId="0"/>
    <xf numFmtId="0" fontId="17" fillId="0" borderId="20" applyAlignment="1" pivotButton="0" quotePrefix="0" xfId="1">
      <alignment horizontal="center" vertical="center"/>
    </xf>
    <xf numFmtId="165" fontId="17" fillId="0" borderId="40" applyAlignment="1" pivotButton="0" quotePrefix="0" xfId="1">
      <alignment horizontal="center" vertical="center"/>
    </xf>
    <xf numFmtId="165" fontId="22" fillId="0" borderId="22" applyAlignment="1" pivotButton="0" quotePrefix="0" xfId="0">
      <alignment horizontal="center"/>
    </xf>
    <xf numFmtId="165" fontId="22" fillId="0" borderId="21" applyAlignment="1" pivotButton="0" quotePrefix="0" xfId="0">
      <alignment horizontal="center"/>
    </xf>
    <xf numFmtId="0" fontId="17" fillId="0" borderId="20" applyAlignment="1" pivotButton="0" quotePrefix="0" xfId="1">
      <alignment horizontal="center" vertical="center" shrinkToFit="1"/>
    </xf>
    <xf numFmtId="0" fontId="17" fillId="0" borderId="46" applyAlignment="1" pivotButton="0" quotePrefix="0" xfId="0">
      <alignment horizontal="left" vertical="top" wrapText="1"/>
    </xf>
    <xf numFmtId="0" fontId="12" fillId="0" borderId="0" applyAlignment="1" pivotButton="0" quotePrefix="0" xfId="1">
      <alignment vertical="center"/>
    </xf>
    <xf numFmtId="0" fontId="17" fillId="0" borderId="54" applyAlignment="1" pivotButton="0" quotePrefix="0" xfId="0">
      <alignment horizontal="center" vertical="center" shrinkToFit="1"/>
    </xf>
    <xf numFmtId="164" fontId="17" fillId="0" borderId="15" applyAlignment="1" pivotButton="0" quotePrefix="0" xfId="0">
      <alignment horizontal="center" vertical="center"/>
    </xf>
    <xf numFmtId="0" fontId="17" fillId="0" borderId="53" applyAlignment="1" pivotButton="0" quotePrefix="0" xfId="1">
      <alignment horizontal="center" vertical="center" wrapText="1"/>
    </xf>
    <xf numFmtId="0" fontId="12" fillId="0" borderId="49" applyAlignment="1" pivotButton="0" quotePrefix="0" xfId="0">
      <alignment horizontal="center" vertical="center" shrinkToFit="1"/>
    </xf>
    <xf numFmtId="0" fontId="17" fillId="0" borderId="45" applyAlignment="1" pivotButton="0" quotePrefix="0" xfId="0">
      <alignment horizontal="center" vertical="center" shrinkToFit="1"/>
    </xf>
    <xf numFmtId="164" fontId="17" fillId="0" borderId="8" applyAlignment="1" pivotButton="0" quotePrefix="0" xfId="0">
      <alignment horizontal="center" vertical="center"/>
    </xf>
    <xf numFmtId="0" fontId="22" fillId="0" borderId="41" applyAlignment="1" pivotButton="0" quotePrefix="0" xfId="0">
      <alignment horizontal="left" vertical="top" wrapText="1"/>
    </xf>
    <xf numFmtId="0" fontId="17" fillId="0" borderId="51" applyAlignment="1" pivotButton="0" quotePrefix="0" xfId="1">
      <alignment vertical="center"/>
    </xf>
    <xf numFmtId="0" fontId="22" fillId="0" borderId="41" pivotButton="0" quotePrefix="0" xfId="0"/>
    <xf numFmtId="0" fontId="22" fillId="0" borderId="1" pivotButton="0" quotePrefix="0" xfId="0"/>
    <xf numFmtId="164" fontId="23" fillId="0" borderId="17" applyAlignment="1" pivotButton="0" quotePrefix="0" xfId="0">
      <alignment horizontal="center" vertical="center"/>
    </xf>
    <xf numFmtId="0" fontId="26" fillId="0" borderId="18" pivotButton="0" quotePrefix="0" xfId="0"/>
    <xf numFmtId="0" fontId="23" fillId="0" borderId="53" applyAlignment="1" pivotButton="0" quotePrefix="0" xfId="0">
      <alignment horizontal="center" vertical="center" wrapText="1" shrinkToFit="1"/>
    </xf>
    <xf numFmtId="165" fontId="17" fillId="0" borderId="8" applyAlignment="1" pivotButton="0" quotePrefix="0" xfId="0">
      <alignment horizontal="center" vertical="center"/>
    </xf>
    <xf numFmtId="165" fontId="22" fillId="0" borderId="32" applyAlignment="1" pivotButton="0" quotePrefix="0" xfId="0">
      <alignment horizontal="center"/>
    </xf>
    <xf numFmtId="165" fontId="22" fillId="0" borderId="31" applyAlignment="1" pivotButton="0" quotePrefix="0" xfId="0">
      <alignment horizontal="center"/>
    </xf>
    <xf numFmtId="165" fontId="17" fillId="0" borderId="36" applyAlignment="1" pivotButton="0" quotePrefix="0" xfId="0">
      <alignment horizontal="center" vertical="center"/>
    </xf>
    <xf numFmtId="165" fontId="22" fillId="0" borderId="38" applyAlignment="1" pivotButton="0" quotePrefix="0" xfId="0">
      <alignment horizontal="center"/>
    </xf>
    <xf numFmtId="165" fontId="22" fillId="0" borderId="35" applyAlignment="1" pivotButton="0" quotePrefix="0" xfId="0">
      <alignment horizontal="center"/>
    </xf>
    <xf numFmtId="0" fontId="8" fillId="0" borderId="51" applyAlignment="1" pivotButton="0" quotePrefix="0" xfId="1">
      <alignment horizontal="center" vertical="center"/>
    </xf>
    <xf numFmtId="0" fontId="12" fillId="0" borderId="51" applyAlignment="1" pivotButton="0" quotePrefix="0" xfId="1">
      <alignment horizontal="left" vertical="center"/>
    </xf>
    <xf numFmtId="0" fontId="13" fillId="0" borderId="51" applyAlignment="1" pivotButton="0" quotePrefix="0" xfId="1">
      <alignment horizontal="left" vertical="center"/>
    </xf>
    <xf numFmtId="0" fontId="0" fillId="0" borderId="1" pivotButton="0" quotePrefix="0" xfId="0"/>
    <xf numFmtId="0" fontId="22" fillId="0" borderId="51" applyAlignment="1" pivotButton="0" quotePrefix="0" xfId="0">
      <alignment vertical="center"/>
    </xf>
    <xf numFmtId="0" fontId="12" fillId="0" borderId="51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10" pivotButton="0" quotePrefix="0" xfId="0"/>
    <xf numFmtId="164" fontId="17" fillId="0" borderId="40" applyAlignment="1" pivotButton="0" quotePrefix="0" xfId="1">
      <alignment horizontal="center" vertical="center"/>
    </xf>
    <xf numFmtId="0" fontId="0" fillId="0" borderId="11" pivotButton="0" quotePrefix="0" xfId="0"/>
    <xf numFmtId="164" fontId="17" fillId="0" borderId="23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59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164" fontId="17" fillId="0" borderId="15" applyAlignment="1" pivotButton="0" quotePrefix="0" xfId="1">
      <alignment horizontal="center" vertical="center"/>
    </xf>
    <xf numFmtId="164" fontId="17" fillId="0" borderId="12" applyAlignment="1" pivotButton="0" quotePrefix="0" xfId="1">
      <alignment horizontal="center" vertical="center"/>
    </xf>
    <xf numFmtId="164" fontId="17" fillId="0" borderId="20" applyAlignment="1" pivotButton="0" quotePrefix="0" xfId="1">
      <alignment horizontal="center" vertical="center"/>
    </xf>
    <xf numFmtId="0" fontId="0" fillId="0" borderId="31" pivotButton="0" quotePrefix="0" xfId="0"/>
    <xf numFmtId="164" fontId="17" fillId="0" borderId="8" applyAlignment="1" pivotButton="0" quotePrefix="0" xfId="1">
      <alignment horizontal="center" vertical="center"/>
    </xf>
    <xf numFmtId="0" fontId="0" fillId="0" borderId="32" pivotButton="0" quotePrefix="0" xfId="0"/>
    <xf numFmtId="164" fontId="17" fillId="0" borderId="33" applyAlignment="1" pivotButton="0" quotePrefix="0" xfId="1">
      <alignment horizontal="center" vertical="center"/>
    </xf>
    <xf numFmtId="164" fontId="17" fillId="0" borderId="8" applyAlignment="1" pivotButton="0" quotePrefix="0" xfId="0">
      <alignment horizontal="center" vertical="center"/>
    </xf>
    <xf numFmtId="164" fontId="17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17" fillId="0" borderId="53" applyAlignment="1" pivotButton="0" quotePrefix="0" xfId="0">
      <alignment horizontal="center" vertical="center" shrinkToFit="1"/>
    </xf>
    <xf numFmtId="164" fontId="17" fillId="0" borderId="24" applyAlignment="1" pivotButton="0" quotePrefix="0" xfId="1">
      <alignment horizontal="center" vertical="center"/>
    </xf>
    <xf numFmtId="0" fontId="0" fillId="0" borderId="26" pivotButton="0" quotePrefix="0" xfId="0"/>
    <xf numFmtId="164" fontId="17" fillId="0" borderId="27" applyAlignment="1" pivotButton="0" quotePrefix="0" xfId="1">
      <alignment horizontal="center" vertical="center"/>
    </xf>
    <xf numFmtId="164" fontId="17" fillId="0" borderId="15" applyAlignment="1" pivotButton="0" quotePrefix="0" xfId="0">
      <alignment horizontal="center" vertical="center"/>
    </xf>
    <xf numFmtId="164" fontId="17" fillId="0" borderId="14" applyAlignment="1" pivotButton="0" quotePrefix="0" xfId="0">
      <alignment horizontal="center" vertical="center"/>
    </xf>
    <xf numFmtId="164" fontId="23" fillId="0" borderId="17" applyAlignment="1" pivotButton="0" quotePrefix="0" xfId="0">
      <alignment horizontal="center" vertical="center"/>
    </xf>
    <xf numFmtId="0" fontId="0" fillId="0" borderId="18" pivotButton="0" quotePrefix="0" xfId="0"/>
    <xf numFmtId="164" fontId="23" fillId="0" borderId="19" applyAlignment="1" pivotButton="0" quotePrefix="0" xfId="0">
      <alignment horizontal="center" vertical="center"/>
    </xf>
    <xf numFmtId="164" fontId="17" fillId="0" borderId="30" applyAlignment="1" pivotButton="0" quotePrefix="0" xfId="1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8" pivotButton="0" quotePrefix="0" xfId="0"/>
    <xf numFmtId="0" fontId="0" fillId="0" borderId="47" pivotButton="0" quotePrefix="0" xfId="0"/>
    <xf numFmtId="164" fontId="20" fillId="0" borderId="44" applyAlignment="1" pivotButton="0" quotePrefix="0" xfId="0">
      <alignment horizontal="center" vertical="center"/>
    </xf>
    <xf numFmtId="164" fontId="17" fillId="0" borderId="51" applyAlignment="1" pivotButton="0" quotePrefix="0" xfId="1">
      <alignment horizontal="center" vertical="center"/>
    </xf>
    <xf numFmtId="164" fontId="20" fillId="0" borderId="51" applyAlignment="1" pivotButton="0" quotePrefix="0" xfId="1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164" fontId="22" fillId="0" borderId="33" applyAlignment="1" pivotButton="0" quotePrefix="0" xfId="0">
      <alignment horizontal="center"/>
    </xf>
    <xf numFmtId="165" fontId="17" fillId="0" borderId="36" applyAlignment="1" pivotButton="0" quotePrefix="0" xfId="0">
      <alignment horizontal="center" vertical="center"/>
    </xf>
    <xf numFmtId="0" fontId="0" fillId="0" borderId="38" pivotButton="0" quotePrefix="0" xfId="0"/>
    <xf numFmtId="165" fontId="22" fillId="0" borderId="39" applyAlignment="1" pivotButton="0" quotePrefix="0" xfId="0">
      <alignment horizontal="center"/>
    </xf>
    <xf numFmtId="164" fontId="17" fillId="0" borderId="50" applyAlignment="1" pivotButton="0" quotePrefix="0" xfId="1">
      <alignment horizontal="center" vertical="center"/>
    </xf>
    <xf numFmtId="165" fontId="17" fillId="0" borderId="40" applyAlignment="1" pivotButton="0" quotePrefix="0" xfId="1">
      <alignment horizontal="center" vertical="center"/>
    </xf>
    <xf numFmtId="165" fontId="17" fillId="0" borderId="23" applyAlignment="1" pivotButton="0" quotePrefix="0" xfId="1">
      <alignment horizontal="center" vertical="center"/>
    </xf>
    <xf numFmtId="165" fontId="17" fillId="0" borderId="8" applyAlignment="1" pivotButton="0" quotePrefix="0" xfId="0">
      <alignment horizontal="center" vertical="center"/>
    </xf>
    <xf numFmtId="165" fontId="22" fillId="0" borderId="33" applyAlignment="1" pivotButton="0" quotePrefix="0" xfId="0">
      <alignment horizontal="center"/>
    </xf>
    <xf numFmtId="164" fontId="17" fillId="0" borderId="30" applyAlignment="1" pivotButton="0" quotePrefix="0" xfId="0">
      <alignment horizontal="center" vertical="center"/>
    </xf>
    <xf numFmtId="164" fontId="17" fillId="0" borderId="51" applyAlignment="1" pivotButton="0" quotePrefix="0" xfId="0">
      <alignment horizontal="center" vertical="center"/>
    </xf>
    <xf numFmtId="164" fontId="20" fillId="0" borderId="51" applyAlignment="1" pivotButton="0" quotePrefix="0" xfId="0">
      <alignment horizontal="center" vertical="center"/>
    </xf>
  </cellXfs>
  <cellStyles count="5">
    <cellStyle name="標準" xfId="0" builtinId="0"/>
    <cellStyle name="標準 2" xfId="1"/>
    <cellStyle name="標準 2 2" xfId="2"/>
    <cellStyle name="通貨 2 2" xfId="3"/>
    <cellStyle name="ハイパーリンク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615947</colOff>
      <row>8</row>
      <rowOff>82547</rowOff>
    </from>
    <to>
      <col>10</col>
      <colOff>1598974</colOff>
      <row>13</row>
      <rowOff>68624</rowOff>
    </to>
    <pic>
      <nvPicPr>
        <cNvPr id="3" name="図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140697" y="2012947"/>
          <a:ext cx="983027" cy="9830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0</col>
      <colOff>0</colOff>
      <row>0</row>
      <rowOff>0</rowOff>
    </from>
    <ext cx="1238250" cy="933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6"/>
  <sheetViews>
    <sheetView tabSelected="1" showWhiteSpace="0" view="pageBreakPreview" topLeftCell="A21" zoomScale="60" zoomScaleNormal="100" workbookViewId="0">
      <selection activeCell="M53" sqref="M53"/>
    </sheetView>
  </sheetViews>
  <sheetFormatPr baseColWidth="8" defaultRowHeight="13"/>
  <cols>
    <col width="12.53515625" customWidth="1" style="4" min="1" max="1"/>
    <col width="9.07421875" customWidth="1" style="3" min="2" max="2"/>
    <col width="35.69140625" customWidth="1" style="3" min="3" max="3"/>
    <col width="3.53515625" customWidth="1" style="3" min="4" max="7"/>
    <col width="6.765625" customWidth="1" style="3" min="8" max="9"/>
    <col width="6.15234375" customWidth="1" style="3" min="10" max="10"/>
    <col width="19.69140625" customWidth="1" style="3" min="11" max="11"/>
    <col width="9.23046875" customWidth="1" style="3" min="12" max="241"/>
    <col width="11.15234375" customWidth="1" style="3" min="242" max="243"/>
    <col width="25.921875" customWidth="1" style="3" min="244" max="244"/>
    <col width="3.53515625" customWidth="1" style="3" min="245" max="246"/>
    <col width="6.765625" customWidth="1" style="3" min="247" max="248"/>
    <col width="6.15234375" customWidth="1" style="3" min="249" max="249"/>
    <col width="19.69140625" customWidth="1" style="3" min="250" max="250"/>
    <col width="9.23046875" customWidth="1" style="3" min="251" max="497"/>
    <col width="11.15234375" customWidth="1" style="3" min="498" max="499"/>
    <col width="25.921875" customWidth="1" style="3" min="500" max="500"/>
    <col width="3.53515625" customWidth="1" style="3" min="501" max="502"/>
    <col width="6.765625" customWidth="1" style="3" min="503" max="504"/>
    <col width="6.15234375" customWidth="1" style="3" min="505" max="505"/>
    <col width="19.69140625" customWidth="1" style="3" min="506" max="506"/>
    <col width="9.23046875" customWidth="1" style="3" min="507" max="753"/>
    <col width="11.15234375" customWidth="1" style="3" min="754" max="755"/>
    <col width="25.921875" customWidth="1" style="3" min="756" max="756"/>
    <col width="3.53515625" customWidth="1" style="3" min="757" max="758"/>
    <col width="6.765625" customWidth="1" style="3" min="759" max="760"/>
    <col width="6.15234375" customWidth="1" style="3" min="761" max="761"/>
    <col width="19.69140625" customWidth="1" style="3" min="762" max="762"/>
    <col width="9.23046875" customWidth="1" style="3" min="763" max="1009"/>
    <col width="11.15234375" customWidth="1" style="3" min="1010" max="1011"/>
    <col width="25.921875" customWidth="1" style="3" min="1012" max="1012"/>
    <col width="3.53515625" customWidth="1" style="3" min="1013" max="1014"/>
    <col width="6.765625" customWidth="1" style="3" min="1015" max="1016"/>
    <col width="6.15234375" customWidth="1" style="3" min="1017" max="1017"/>
    <col width="19.69140625" customWidth="1" style="3" min="1018" max="1018"/>
    <col width="9.23046875" customWidth="1" style="3" min="1019" max="1265"/>
    <col width="11.15234375" customWidth="1" style="3" min="1266" max="1267"/>
    <col width="25.921875" customWidth="1" style="3" min="1268" max="1268"/>
    <col width="3.53515625" customWidth="1" style="3" min="1269" max="1270"/>
    <col width="6.765625" customWidth="1" style="3" min="1271" max="1272"/>
    <col width="6.15234375" customWidth="1" style="3" min="1273" max="1273"/>
    <col width="19.69140625" customWidth="1" style="3" min="1274" max="1274"/>
    <col width="9.23046875" customWidth="1" style="3" min="1275" max="1521"/>
    <col width="11.15234375" customWidth="1" style="3" min="1522" max="1523"/>
    <col width="25.921875" customWidth="1" style="3" min="1524" max="1524"/>
    <col width="3.53515625" customWidth="1" style="3" min="1525" max="1526"/>
    <col width="6.765625" customWidth="1" style="3" min="1527" max="1528"/>
    <col width="6.15234375" customWidth="1" style="3" min="1529" max="1529"/>
    <col width="19.69140625" customWidth="1" style="3" min="1530" max="1530"/>
    <col width="9.23046875" customWidth="1" style="3" min="1531" max="1777"/>
    <col width="11.15234375" customWidth="1" style="3" min="1778" max="1779"/>
    <col width="25.921875" customWidth="1" style="3" min="1780" max="1780"/>
    <col width="3.53515625" customWidth="1" style="3" min="1781" max="1782"/>
    <col width="6.765625" customWidth="1" style="3" min="1783" max="1784"/>
    <col width="6.15234375" customWidth="1" style="3" min="1785" max="1785"/>
    <col width="19.69140625" customWidth="1" style="3" min="1786" max="1786"/>
    <col width="9.23046875" customWidth="1" style="3" min="1787" max="2033"/>
    <col width="11.15234375" customWidth="1" style="3" min="2034" max="2035"/>
    <col width="25.921875" customWidth="1" style="3" min="2036" max="2036"/>
    <col width="3.53515625" customWidth="1" style="3" min="2037" max="2038"/>
    <col width="6.765625" customWidth="1" style="3" min="2039" max="2040"/>
    <col width="6.15234375" customWidth="1" style="3" min="2041" max="2041"/>
    <col width="19.69140625" customWidth="1" style="3" min="2042" max="2042"/>
    <col width="9.23046875" customWidth="1" style="3" min="2043" max="2289"/>
    <col width="11.15234375" customWidth="1" style="3" min="2290" max="2291"/>
    <col width="25.921875" customWidth="1" style="3" min="2292" max="2292"/>
    <col width="3.53515625" customWidth="1" style="3" min="2293" max="2294"/>
    <col width="6.765625" customWidth="1" style="3" min="2295" max="2296"/>
    <col width="6.15234375" customWidth="1" style="3" min="2297" max="2297"/>
    <col width="19.69140625" customWidth="1" style="3" min="2298" max="2298"/>
    <col width="9.23046875" customWidth="1" style="3" min="2299" max="2545"/>
    <col width="11.15234375" customWidth="1" style="3" min="2546" max="2547"/>
    <col width="25.921875" customWidth="1" style="3" min="2548" max="2548"/>
    <col width="3.53515625" customWidth="1" style="3" min="2549" max="2550"/>
    <col width="6.765625" customWidth="1" style="3" min="2551" max="2552"/>
    <col width="6.15234375" customWidth="1" style="3" min="2553" max="2553"/>
    <col width="19.69140625" customWidth="1" style="3" min="2554" max="2554"/>
    <col width="9.23046875" customWidth="1" style="3" min="2555" max="2801"/>
    <col width="11.15234375" customWidth="1" style="3" min="2802" max="2803"/>
    <col width="25.921875" customWidth="1" style="3" min="2804" max="2804"/>
    <col width="3.53515625" customWidth="1" style="3" min="2805" max="2806"/>
    <col width="6.765625" customWidth="1" style="3" min="2807" max="2808"/>
    <col width="6.15234375" customWidth="1" style="3" min="2809" max="2809"/>
    <col width="19.69140625" customWidth="1" style="3" min="2810" max="2810"/>
    <col width="9.23046875" customWidth="1" style="3" min="2811" max="3057"/>
    <col width="11.15234375" customWidth="1" style="3" min="3058" max="3059"/>
    <col width="25.921875" customWidth="1" style="3" min="3060" max="3060"/>
    <col width="3.53515625" customWidth="1" style="3" min="3061" max="3062"/>
    <col width="6.765625" customWidth="1" style="3" min="3063" max="3064"/>
    <col width="6.15234375" customWidth="1" style="3" min="3065" max="3065"/>
    <col width="19.69140625" customWidth="1" style="3" min="3066" max="3066"/>
    <col width="9.23046875" customWidth="1" style="3" min="3067" max="3313"/>
    <col width="11.15234375" customWidth="1" style="3" min="3314" max="3315"/>
    <col width="25.921875" customWidth="1" style="3" min="3316" max="3316"/>
    <col width="3.53515625" customWidth="1" style="3" min="3317" max="3318"/>
    <col width="6.765625" customWidth="1" style="3" min="3319" max="3320"/>
    <col width="6.15234375" customWidth="1" style="3" min="3321" max="3321"/>
    <col width="19.69140625" customWidth="1" style="3" min="3322" max="3322"/>
    <col width="9.23046875" customWidth="1" style="3" min="3323" max="3569"/>
    <col width="11.15234375" customWidth="1" style="3" min="3570" max="3571"/>
    <col width="25.921875" customWidth="1" style="3" min="3572" max="3572"/>
    <col width="3.53515625" customWidth="1" style="3" min="3573" max="3574"/>
    <col width="6.765625" customWidth="1" style="3" min="3575" max="3576"/>
    <col width="6.15234375" customWidth="1" style="3" min="3577" max="3577"/>
    <col width="19.69140625" customWidth="1" style="3" min="3578" max="3578"/>
    <col width="9.23046875" customWidth="1" style="3" min="3579" max="3825"/>
    <col width="11.15234375" customWidth="1" style="3" min="3826" max="3827"/>
    <col width="25.921875" customWidth="1" style="3" min="3828" max="3828"/>
    <col width="3.53515625" customWidth="1" style="3" min="3829" max="3830"/>
    <col width="6.765625" customWidth="1" style="3" min="3831" max="3832"/>
    <col width="6.15234375" customWidth="1" style="3" min="3833" max="3833"/>
    <col width="19.69140625" customWidth="1" style="3" min="3834" max="3834"/>
    <col width="9.23046875" customWidth="1" style="3" min="3835" max="4081"/>
    <col width="11.15234375" customWidth="1" style="3" min="4082" max="4083"/>
    <col width="25.921875" customWidth="1" style="3" min="4084" max="4084"/>
    <col width="3.53515625" customWidth="1" style="3" min="4085" max="4086"/>
    <col width="6.765625" customWidth="1" style="3" min="4087" max="4088"/>
    <col width="6.15234375" customWidth="1" style="3" min="4089" max="4089"/>
    <col width="19.69140625" customWidth="1" style="3" min="4090" max="4090"/>
    <col width="9.23046875" customWidth="1" style="3" min="4091" max="4337"/>
    <col width="11.15234375" customWidth="1" style="3" min="4338" max="4339"/>
    <col width="25.921875" customWidth="1" style="3" min="4340" max="4340"/>
    <col width="3.53515625" customWidth="1" style="3" min="4341" max="4342"/>
    <col width="6.765625" customWidth="1" style="3" min="4343" max="4344"/>
    <col width="6.15234375" customWidth="1" style="3" min="4345" max="4345"/>
    <col width="19.69140625" customWidth="1" style="3" min="4346" max="4346"/>
    <col width="9.23046875" customWidth="1" style="3" min="4347" max="4593"/>
    <col width="11.15234375" customWidth="1" style="3" min="4594" max="4595"/>
    <col width="25.921875" customWidth="1" style="3" min="4596" max="4596"/>
    <col width="3.53515625" customWidth="1" style="3" min="4597" max="4598"/>
    <col width="6.765625" customWidth="1" style="3" min="4599" max="4600"/>
    <col width="6.15234375" customWidth="1" style="3" min="4601" max="4601"/>
    <col width="19.69140625" customWidth="1" style="3" min="4602" max="4602"/>
    <col width="9.23046875" customWidth="1" style="3" min="4603" max="4849"/>
    <col width="11.15234375" customWidth="1" style="3" min="4850" max="4851"/>
    <col width="25.921875" customWidth="1" style="3" min="4852" max="4852"/>
    <col width="3.53515625" customWidth="1" style="3" min="4853" max="4854"/>
    <col width="6.765625" customWidth="1" style="3" min="4855" max="4856"/>
    <col width="6.15234375" customWidth="1" style="3" min="4857" max="4857"/>
    <col width="19.69140625" customWidth="1" style="3" min="4858" max="4858"/>
    <col width="9.23046875" customWidth="1" style="3" min="4859" max="5105"/>
    <col width="11.15234375" customWidth="1" style="3" min="5106" max="5107"/>
    <col width="25.921875" customWidth="1" style="3" min="5108" max="5108"/>
    <col width="3.53515625" customWidth="1" style="3" min="5109" max="5110"/>
    <col width="6.765625" customWidth="1" style="3" min="5111" max="5112"/>
    <col width="6.15234375" customWidth="1" style="3" min="5113" max="5113"/>
    <col width="19.69140625" customWidth="1" style="3" min="5114" max="5114"/>
    <col width="9.23046875" customWidth="1" style="3" min="5115" max="5361"/>
    <col width="11.15234375" customWidth="1" style="3" min="5362" max="5363"/>
    <col width="25.921875" customWidth="1" style="3" min="5364" max="5364"/>
    <col width="3.53515625" customWidth="1" style="3" min="5365" max="5366"/>
    <col width="6.765625" customWidth="1" style="3" min="5367" max="5368"/>
    <col width="6.15234375" customWidth="1" style="3" min="5369" max="5369"/>
    <col width="19.69140625" customWidth="1" style="3" min="5370" max="5370"/>
    <col width="9.23046875" customWidth="1" style="3" min="5371" max="5617"/>
    <col width="11.15234375" customWidth="1" style="3" min="5618" max="5619"/>
    <col width="25.921875" customWidth="1" style="3" min="5620" max="5620"/>
    <col width="3.53515625" customWidth="1" style="3" min="5621" max="5622"/>
    <col width="6.765625" customWidth="1" style="3" min="5623" max="5624"/>
    <col width="6.15234375" customWidth="1" style="3" min="5625" max="5625"/>
    <col width="19.69140625" customWidth="1" style="3" min="5626" max="5626"/>
    <col width="9.23046875" customWidth="1" style="3" min="5627" max="5873"/>
    <col width="11.15234375" customWidth="1" style="3" min="5874" max="5875"/>
    <col width="25.921875" customWidth="1" style="3" min="5876" max="5876"/>
    <col width="3.53515625" customWidth="1" style="3" min="5877" max="5878"/>
    <col width="6.765625" customWidth="1" style="3" min="5879" max="5880"/>
    <col width="6.15234375" customWidth="1" style="3" min="5881" max="5881"/>
    <col width="19.69140625" customWidth="1" style="3" min="5882" max="5882"/>
    <col width="9.23046875" customWidth="1" style="3" min="5883" max="6129"/>
    <col width="11.15234375" customWidth="1" style="3" min="6130" max="6131"/>
    <col width="25.921875" customWidth="1" style="3" min="6132" max="6132"/>
    <col width="3.53515625" customWidth="1" style="3" min="6133" max="6134"/>
    <col width="6.765625" customWidth="1" style="3" min="6135" max="6136"/>
    <col width="6.15234375" customWidth="1" style="3" min="6137" max="6137"/>
    <col width="19.69140625" customWidth="1" style="3" min="6138" max="6138"/>
    <col width="9.23046875" customWidth="1" style="3" min="6139" max="6385"/>
    <col width="11.15234375" customWidth="1" style="3" min="6386" max="6387"/>
    <col width="25.921875" customWidth="1" style="3" min="6388" max="6388"/>
    <col width="3.53515625" customWidth="1" style="3" min="6389" max="6390"/>
    <col width="6.765625" customWidth="1" style="3" min="6391" max="6392"/>
    <col width="6.15234375" customWidth="1" style="3" min="6393" max="6393"/>
    <col width="19.69140625" customWidth="1" style="3" min="6394" max="6394"/>
    <col width="9.23046875" customWidth="1" style="3" min="6395" max="6641"/>
    <col width="11.15234375" customWidth="1" style="3" min="6642" max="6643"/>
    <col width="25.921875" customWidth="1" style="3" min="6644" max="6644"/>
    <col width="3.53515625" customWidth="1" style="3" min="6645" max="6646"/>
    <col width="6.765625" customWidth="1" style="3" min="6647" max="6648"/>
    <col width="6.15234375" customWidth="1" style="3" min="6649" max="6649"/>
    <col width="19.69140625" customWidth="1" style="3" min="6650" max="6650"/>
    <col width="9.23046875" customWidth="1" style="3" min="6651" max="6897"/>
    <col width="11.15234375" customWidth="1" style="3" min="6898" max="6899"/>
    <col width="25.921875" customWidth="1" style="3" min="6900" max="6900"/>
    <col width="3.53515625" customWidth="1" style="3" min="6901" max="6902"/>
    <col width="6.765625" customWidth="1" style="3" min="6903" max="6904"/>
    <col width="6.15234375" customWidth="1" style="3" min="6905" max="6905"/>
    <col width="19.69140625" customWidth="1" style="3" min="6906" max="6906"/>
    <col width="9.23046875" customWidth="1" style="3" min="6907" max="7153"/>
    <col width="11.15234375" customWidth="1" style="3" min="7154" max="7155"/>
    <col width="25.921875" customWidth="1" style="3" min="7156" max="7156"/>
    <col width="3.53515625" customWidth="1" style="3" min="7157" max="7158"/>
    <col width="6.765625" customWidth="1" style="3" min="7159" max="7160"/>
    <col width="6.15234375" customWidth="1" style="3" min="7161" max="7161"/>
    <col width="19.69140625" customWidth="1" style="3" min="7162" max="7162"/>
    <col width="9.23046875" customWidth="1" style="3" min="7163" max="7409"/>
    <col width="11.15234375" customWidth="1" style="3" min="7410" max="7411"/>
    <col width="25.921875" customWidth="1" style="3" min="7412" max="7412"/>
    <col width="3.53515625" customWidth="1" style="3" min="7413" max="7414"/>
    <col width="6.765625" customWidth="1" style="3" min="7415" max="7416"/>
    <col width="6.15234375" customWidth="1" style="3" min="7417" max="7417"/>
    <col width="19.69140625" customWidth="1" style="3" min="7418" max="7418"/>
    <col width="9.23046875" customWidth="1" style="3" min="7419" max="7665"/>
    <col width="11.15234375" customWidth="1" style="3" min="7666" max="7667"/>
    <col width="25.921875" customWidth="1" style="3" min="7668" max="7668"/>
    <col width="3.53515625" customWidth="1" style="3" min="7669" max="7670"/>
    <col width="6.765625" customWidth="1" style="3" min="7671" max="7672"/>
    <col width="6.15234375" customWidth="1" style="3" min="7673" max="7673"/>
    <col width="19.69140625" customWidth="1" style="3" min="7674" max="7674"/>
    <col width="9.23046875" customWidth="1" style="3" min="7675" max="7921"/>
    <col width="11.15234375" customWidth="1" style="3" min="7922" max="7923"/>
    <col width="25.921875" customWidth="1" style="3" min="7924" max="7924"/>
    <col width="3.53515625" customWidth="1" style="3" min="7925" max="7926"/>
    <col width="6.765625" customWidth="1" style="3" min="7927" max="7928"/>
    <col width="6.15234375" customWidth="1" style="3" min="7929" max="7929"/>
    <col width="19.69140625" customWidth="1" style="3" min="7930" max="7930"/>
    <col width="9.23046875" customWidth="1" style="3" min="7931" max="8177"/>
    <col width="11.15234375" customWidth="1" style="3" min="8178" max="8179"/>
    <col width="25.921875" customWidth="1" style="3" min="8180" max="8180"/>
    <col width="3.53515625" customWidth="1" style="3" min="8181" max="8182"/>
    <col width="6.765625" customWidth="1" style="3" min="8183" max="8184"/>
    <col width="6.15234375" customWidth="1" style="3" min="8185" max="8185"/>
    <col width="19.69140625" customWidth="1" style="3" min="8186" max="8186"/>
    <col width="9.23046875" customWidth="1" style="3" min="8187" max="8433"/>
    <col width="11.15234375" customWidth="1" style="3" min="8434" max="8435"/>
    <col width="25.921875" customWidth="1" style="3" min="8436" max="8436"/>
    <col width="3.53515625" customWidth="1" style="3" min="8437" max="8438"/>
    <col width="6.765625" customWidth="1" style="3" min="8439" max="8440"/>
    <col width="6.15234375" customWidth="1" style="3" min="8441" max="8441"/>
    <col width="19.69140625" customWidth="1" style="3" min="8442" max="8442"/>
    <col width="9.23046875" customWidth="1" style="3" min="8443" max="8689"/>
    <col width="11.15234375" customWidth="1" style="3" min="8690" max="8691"/>
    <col width="25.921875" customWidth="1" style="3" min="8692" max="8692"/>
    <col width="3.53515625" customWidth="1" style="3" min="8693" max="8694"/>
    <col width="6.765625" customWidth="1" style="3" min="8695" max="8696"/>
    <col width="6.15234375" customWidth="1" style="3" min="8697" max="8697"/>
    <col width="19.69140625" customWidth="1" style="3" min="8698" max="8698"/>
    <col width="9.23046875" customWidth="1" style="3" min="8699" max="8945"/>
    <col width="11.15234375" customWidth="1" style="3" min="8946" max="8947"/>
    <col width="25.921875" customWidth="1" style="3" min="8948" max="8948"/>
    <col width="3.53515625" customWidth="1" style="3" min="8949" max="8950"/>
    <col width="6.765625" customWidth="1" style="3" min="8951" max="8952"/>
    <col width="6.15234375" customWidth="1" style="3" min="8953" max="8953"/>
    <col width="19.69140625" customWidth="1" style="3" min="8954" max="8954"/>
    <col width="9.23046875" customWidth="1" style="3" min="8955" max="9201"/>
    <col width="11.15234375" customWidth="1" style="3" min="9202" max="9203"/>
    <col width="25.921875" customWidth="1" style="3" min="9204" max="9204"/>
    <col width="3.53515625" customWidth="1" style="3" min="9205" max="9206"/>
    <col width="6.765625" customWidth="1" style="3" min="9207" max="9208"/>
    <col width="6.15234375" customWidth="1" style="3" min="9209" max="9209"/>
    <col width="19.69140625" customWidth="1" style="3" min="9210" max="9210"/>
    <col width="9.23046875" customWidth="1" style="3" min="9211" max="9457"/>
    <col width="11.15234375" customWidth="1" style="3" min="9458" max="9459"/>
    <col width="25.921875" customWidth="1" style="3" min="9460" max="9460"/>
    <col width="3.53515625" customWidth="1" style="3" min="9461" max="9462"/>
    <col width="6.765625" customWidth="1" style="3" min="9463" max="9464"/>
    <col width="6.15234375" customWidth="1" style="3" min="9465" max="9465"/>
    <col width="19.69140625" customWidth="1" style="3" min="9466" max="9466"/>
    <col width="9.23046875" customWidth="1" style="3" min="9467" max="9713"/>
    <col width="11.15234375" customWidth="1" style="3" min="9714" max="9715"/>
    <col width="25.921875" customWidth="1" style="3" min="9716" max="9716"/>
    <col width="3.53515625" customWidth="1" style="3" min="9717" max="9718"/>
    <col width="6.765625" customWidth="1" style="3" min="9719" max="9720"/>
    <col width="6.15234375" customWidth="1" style="3" min="9721" max="9721"/>
    <col width="19.69140625" customWidth="1" style="3" min="9722" max="9722"/>
    <col width="9.23046875" customWidth="1" style="3" min="9723" max="9969"/>
    <col width="11.15234375" customWidth="1" style="3" min="9970" max="9971"/>
    <col width="25.921875" customWidth="1" style="3" min="9972" max="9972"/>
    <col width="3.53515625" customWidth="1" style="3" min="9973" max="9974"/>
    <col width="6.765625" customWidth="1" style="3" min="9975" max="9976"/>
    <col width="6.15234375" customWidth="1" style="3" min="9977" max="9977"/>
    <col width="19.69140625" customWidth="1" style="3" min="9978" max="9978"/>
    <col width="9.23046875" customWidth="1" style="3" min="9979" max="10225"/>
    <col width="11.15234375" customWidth="1" style="3" min="10226" max="10227"/>
    <col width="25.921875" customWidth="1" style="3" min="10228" max="10228"/>
    <col width="3.53515625" customWidth="1" style="3" min="10229" max="10230"/>
    <col width="6.765625" customWidth="1" style="3" min="10231" max="10232"/>
    <col width="6.15234375" customWidth="1" style="3" min="10233" max="10233"/>
    <col width="19.69140625" customWidth="1" style="3" min="10234" max="10234"/>
    <col width="9.23046875" customWidth="1" style="3" min="10235" max="10481"/>
    <col width="11.15234375" customWidth="1" style="3" min="10482" max="10483"/>
    <col width="25.921875" customWidth="1" style="3" min="10484" max="10484"/>
    <col width="3.53515625" customWidth="1" style="3" min="10485" max="10486"/>
    <col width="6.765625" customWidth="1" style="3" min="10487" max="10488"/>
    <col width="6.15234375" customWidth="1" style="3" min="10489" max="10489"/>
    <col width="19.69140625" customWidth="1" style="3" min="10490" max="10490"/>
    <col width="9.23046875" customWidth="1" style="3" min="10491" max="10737"/>
    <col width="11.15234375" customWidth="1" style="3" min="10738" max="10739"/>
    <col width="25.921875" customWidth="1" style="3" min="10740" max="10740"/>
    <col width="3.53515625" customWidth="1" style="3" min="10741" max="10742"/>
    <col width="6.765625" customWidth="1" style="3" min="10743" max="10744"/>
    <col width="6.15234375" customWidth="1" style="3" min="10745" max="10745"/>
    <col width="19.69140625" customWidth="1" style="3" min="10746" max="10746"/>
    <col width="9.23046875" customWidth="1" style="3" min="10747" max="10993"/>
    <col width="11.15234375" customWidth="1" style="3" min="10994" max="10995"/>
    <col width="25.921875" customWidth="1" style="3" min="10996" max="10996"/>
    <col width="3.53515625" customWidth="1" style="3" min="10997" max="10998"/>
    <col width="6.765625" customWidth="1" style="3" min="10999" max="11000"/>
    <col width="6.15234375" customWidth="1" style="3" min="11001" max="11001"/>
    <col width="19.69140625" customWidth="1" style="3" min="11002" max="11002"/>
    <col width="9.23046875" customWidth="1" style="3" min="11003" max="11249"/>
    <col width="11.15234375" customWidth="1" style="3" min="11250" max="11251"/>
    <col width="25.921875" customWidth="1" style="3" min="11252" max="11252"/>
    <col width="3.53515625" customWidth="1" style="3" min="11253" max="11254"/>
    <col width="6.765625" customWidth="1" style="3" min="11255" max="11256"/>
    <col width="6.15234375" customWidth="1" style="3" min="11257" max="11257"/>
    <col width="19.69140625" customWidth="1" style="3" min="11258" max="11258"/>
    <col width="9.23046875" customWidth="1" style="3" min="11259" max="11505"/>
    <col width="11.15234375" customWidth="1" style="3" min="11506" max="11507"/>
    <col width="25.921875" customWidth="1" style="3" min="11508" max="11508"/>
    <col width="3.53515625" customWidth="1" style="3" min="11509" max="11510"/>
    <col width="6.765625" customWidth="1" style="3" min="11511" max="11512"/>
    <col width="6.15234375" customWidth="1" style="3" min="11513" max="11513"/>
    <col width="19.69140625" customWidth="1" style="3" min="11514" max="11514"/>
    <col width="9.23046875" customWidth="1" style="3" min="11515" max="11761"/>
    <col width="11.15234375" customWidth="1" style="3" min="11762" max="11763"/>
    <col width="25.921875" customWidth="1" style="3" min="11764" max="11764"/>
    <col width="3.53515625" customWidth="1" style="3" min="11765" max="11766"/>
    <col width="6.765625" customWidth="1" style="3" min="11767" max="11768"/>
    <col width="6.15234375" customWidth="1" style="3" min="11769" max="11769"/>
    <col width="19.69140625" customWidth="1" style="3" min="11770" max="11770"/>
    <col width="9.23046875" customWidth="1" style="3" min="11771" max="12017"/>
    <col width="11.15234375" customWidth="1" style="3" min="12018" max="12019"/>
    <col width="25.921875" customWidth="1" style="3" min="12020" max="12020"/>
    <col width="3.53515625" customWidth="1" style="3" min="12021" max="12022"/>
    <col width="6.765625" customWidth="1" style="3" min="12023" max="12024"/>
    <col width="6.15234375" customWidth="1" style="3" min="12025" max="12025"/>
    <col width="19.69140625" customWidth="1" style="3" min="12026" max="12026"/>
    <col width="9.23046875" customWidth="1" style="3" min="12027" max="12273"/>
    <col width="11.15234375" customWidth="1" style="3" min="12274" max="12275"/>
    <col width="25.921875" customWidth="1" style="3" min="12276" max="12276"/>
    <col width="3.53515625" customWidth="1" style="3" min="12277" max="12278"/>
    <col width="6.765625" customWidth="1" style="3" min="12279" max="12280"/>
    <col width="6.15234375" customWidth="1" style="3" min="12281" max="12281"/>
    <col width="19.69140625" customWidth="1" style="3" min="12282" max="12282"/>
    <col width="9.23046875" customWidth="1" style="3" min="12283" max="12529"/>
    <col width="11.15234375" customWidth="1" style="3" min="12530" max="12531"/>
    <col width="25.921875" customWidth="1" style="3" min="12532" max="12532"/>
    <col width="3.53515625" customWidth="1" style="3" min="12533" max="12534"/>
    <col width="6.765625" customWidth="1" style="3" min="12535" max="12536"/>
    <col width="6.15234375" customWidth="1" style="3" min="12537" max="12537"/>
    <col width="19.69140625" customWidth="1" style="3" min="12538" max="12538"/>
    <col width="9.23046875" customWidth="1" style="3" min="12539" max="12785"/>
    <col width="11.15234375" customWidth="1" style="3" min="12786" max="12787"/>
    <col width="25.921875" customWidth="1" style="3" min="12788" max="12788"/>
    <col width="3.53515625" customWidth="1" style="3" min="12789" max="12790"/>
    <col width="6.765625" customWidth="1" style="3" min="12791" max="12792"/>
    <col width="6.15234375" customWidth="1" style="3" min="12793" max="12793"/>
    <col width="19.69140625" customWidth="1" style="3" min="12794" max="12794"/>
    <col width="9.23046875" customWidth="1" style="3" min="12795" max="13041"/>
    <col width="11.15234375" customWidth="1" style="3" min="13042" max="13043"/>
    <col width="25.921875" customWidth="1" style="3" min="13044" max="13044"/>
    <col width="3.53515625" customWidth="1" style="3" min="13045" max="13046"/>
    <col width="6.765625" customWidth="1" style="3" min="13047" max="13048"/>
    <col width="6.15234375" customWidth="1" style="3" min="13049" max="13049"/>
    <col width="19.69140625" customWidth="1" style="3" min="13050" max="13050"/>
    <col width="9.23046875" customWidth="1" style="3" min="13051" max="13297"/>
    <col width="11.15234375" customWidth="1" style="3" min="13298" max="13299"/>
    <col width="25.921875" customWidth="1" style="3" min="13300" max="13300"/>
    <col width="3.53515625" customWidth="1" style="3" min="13301" max="13302"/>
    <col width="6.765625" customWidth="1" style="3" min="13303" max="13304"/>
    <col width="6.15234375" customWidth="1" style="3" min="13305" max="13305"/>
    <col width="19.69140625" customWidth="1" style="3" min="13306" max="13306"/>
    <col width="9.23046875" customWidth="1" style="3" min="13307" max="13553"/>
    <col width="11.15234375" customWidth="1" style="3" min="13554" max="13555"/>
    <col width="25.921875" customWidth="1" style="3" min="13556" max="13556"/>
    <col width="3.53515625" customWidth="1" style="3" min="13557" max="13558"/>
    <col width="6.765625" customWidth="1" style="3" min="13559" max="13560"/>
    <col width="6.15234375" customWidth="1" style="3" min="13561" max="13561"/>
    <col width="19.69140625" customWidth="1" style="3" min="13562" max="13562"/>
    <col width="9.23046875" customWidth="1" style="3" min="13563" max="13809"/>
    <col width="11.15234375" customWidth="1" style="3" min="13810" max="13811"/>
    <col width="25.921875" customWidth="1" style="3" min="13812" max="13812"/>
    <col width="3.53515625" customWidth="1" style="3" min="13813" max="13814"/>
    <col width="6.765625" customWidth="1" style="3" min="13815" max="13816"/>
    <col width="6.15234375" customWidth="1" style="3" min="13817" max="13817"/>
    <col width="19.69140625" customWidth="1" style="3" min="13818" max="13818"/>
    <col width="9.23046875" customWidth="1" style="3" min="13819" max="14065"/>
    <col width="11.15234375" customWidth="1" style="3" min="14066" max="14067"/>
    <col width="25.921875" customWidth="1" style="3" min="14068" max="14068"/>
    <col width="3.53515625" customWidth="1" style="3" min="14069" max="14070"/>
    <col width="6.765625" customWidth="1" style="3" min="14071" max="14072"/>
    <col width="6.15234375" customWidth="1" style="3" min="14073" max="14073"/>
    <col width="19.69140625" customWidth="1" style="3" min="14074" max="14074"/>
    <col width="9.23046875" customWidth="1" style="3" min="14075" max="14321"/>
    <col width="11.15234375" customWidth="1" style="3" min="14322" max="14323"/>
    <col width="25.921875" customWidth="1" style="3" min="14324" max="14324"/>
    <col width="3.53515625" customWidth="1" style="3" min="14325" max="14326"/>
    <col width="6.765625" customWidth="1" style="3" min="14327" max="14328"/>
    <col width="6.15234375" customWidth="1" style="3" min="14329" max="14329"/>
    <col width="19.69140625" customWidth="1" style="3" min="14330" max="14330"/>
    <col width="9.23046875" customWidth="1" style="3" min="14331" max="14577"/>
    <col width="11.15234375" customWidth="1" style="3" min="14578" max="14579"/>
    <col width="25.921875" customWidth="1" style="3" min="14580" max="14580"/>
    <col width="3.53515625" customWidth="1" style="3" min="14581" max="14582"/>
    <col width="6.765625" customWidth="1" style="3" min="14583" max="14584"/>
    <col width="6.15234375" customWidth="1" style="3" min="14585" max="14585"/>
    <col width="19.69140625" customWidth="1" style="3" min="14586" max="14586"/>
    <col width="9.23046875" customWidth="1" style="3" min="14587" max="14833"/>
    <col width="11.15234375" customWidth="1" style="3" min="14834" max="14835"/>
    <col width="25.921875" customWidth="1" style="3" min="14836" max="14836"/>
    <col width="3.53515625" customWidth="1" style="3" min="14837" max="14838"/>
    <col width="6.765625" customWidth="1" style="3" min="14839" max="14840"/>
    <col width="6.15234375" customWidth="1" style="3" min="14841" max="14841"/>
    <col width="19.69140625" customWidth="1" style="3" min="14842" max="14842"/>
    <col width="9.23046875" customWidth="1" style="3" min="14843" max="15089"/>
    <col width="11.15234375" customWidth="1" style="3" min="15090" max="15091"/>
    <col width="25.921875" customWidth="1" style="3" min="15092" max="15092"/>
    <col width="3.53515625" customWidth="1" style="3" min="15093" max="15094"/>
    <col width="6.765625" customWidth="1" style="3" min="15095" max="15096"/>
    <col width="6.15234375" customWidth="1" style="3" min="15097" max="15097"/>
    <col width="19.69140625" customWidth="1" style="3" min="15098" max="15098"/>
    <col width="9.23046875" customWidth="1" style="3" min="15099" max="15345"/>
    <col width="11.15234375" customWidth="1" style="3" min="15346" max="15347"/>
    <col width="25.921875" customWidth="1" style="3" min="15348" max="15348"/>
    <col width="3.53515625" customWidth="1" style="3" min="15349" max="15350"/>
    <col width="6.765625" customWidth="1" style="3" min="15351" max="15352"/>
    <col width="6.15234375" customWidth="1" style="3" min="15353" max="15353"/>
    <col width="19.69140625" customWidth="1" style="3" min="15354" max="15354"/>
    <col width="9.23046875" customWidth="1" style="3" min="15355" max="15601"/>
    <col width="11.15234375" customWidth="1" style="3" min="15602" max="15603"/>
    <col width="25.921875" customWidth="1" style="3" min="15604" max="15604"/>
    <col width="3.53515625" customWidth="1" style="3" min="15605" max="15606"/>
    <col width="6.765625" customWidth="1" style="3" min="15607" max="15608"/>
    <col width="6.15234375" customWidth="1" style="3" min="15609" max="15609"/>
    <col width="19.69140625" customWidth="1" style="3" min="15610" max="15610"/>
    <col width="9.23046875" customWidth="1" style="3" min="15611" max="15857"/>
    <col width="11.15234375" customWidth="1" style="3" min="15858" max="15859"/>
    <col width="25.921875" customWidth="1" style="3" min="15860" max="15860"/>
    <col width="3.53515625" customWidth="1" style="3" min="15861" max="15862"/>
    <col width="6.765625" customWidth="1" style="3" min="15863" max="15864"/>
    <col width="6.15234375" customWidth="1" style="3" min="15865" max="15865"/>
    <col width="19.69140625" customWidth="1" style="3" min="15866" max="15866"/>
    <col width="9.23046875" customWidth="1" style="3" min="15867" max="16113"/>
    <col width="11.15234375" customWidth="1" style="3" min="16114" max="16115"/>
    <col width="25.921875" customWidth="1" style="3" min="16116" max="16116"/>
    <col width="3.53515625" customWidth="1" style="3" min="16117" max="16118"/>
    <col width="6.765625" customWidth="1" style="3" min="16119" max="16120"/>
    <col width="6.15234375" customWidth="1" style="3" min="16121" max="16121"/>
    <col width="19.69140625" customWidth="1" style="3" min="16122" max="16122"/>
    <col width="9.23046875" customWidth="1" style="3" min="16123" max="16384"/>
  </cols>
  <sheetData>
    <row r="1" ht="50" customFormat="1" customHeight="1" s="1">
      <c r="A1" s="195" t="inlineStr">
        <is>
          <t>御見積書(サイトリニューアル）</t>
        </is>
      </c>
    </row>
    <row r="2" ht="22.5" customFormat="1" customHeight="1" s="1">
      <c r="A2" s="5" t="n"/>
      <c r="B2" s="6" t="n"/>
      <c r="C2" s="6" t="n"/>
      <c r="D2" s="6" t="n"/>
      <c r="E2" s="6" t="n"/>
      <c r="F2" s="6" t="n"/>
      <c r="G2" s="6" t="n"/>
      <c r="H2" s="6" t="n"/>
      <c r="I2" s="7" t="n"/>
      <c r="J2" s="196" t="inlineStr">
        <is>
          <t>令和　8年　6月　23日</t>
        </is>
      </c>
    </row>
    <row r="3" ht="13.5" customFormat="1" customHeight="1" s="2">
      <c r="A3" s="197" t="n"/>
      <c r="D3" s="8" t="n"/>
      <c r="E3" s="8" t="n"/>
      <c r="F3" s="8" t="n"/>
      <c r="G3" s="8" t="n"/>
      <c r="H3" s="8" t="n"/>
      <c r="I3" s="8" t="n"/>
      <c r="J3" s="123" t="inlineStr">
        <is>
          <t>見積No.　ST-20260623</t>
        </is>
      </c>
      <c r="K3" s="123" t="n"/>
    </row>
    <row r="4" ht="25.5" customFormat="1" customHeight="1" s="2" thickBot="1">
      <c r="A4" s="151" t="inlineStr">
        <is>
          <t xml:space="preserve">　　　　株式会社インフォネット 　　　様</t>
        </is>
      </c>
      <c r="B4" s="198" t="n"/>
      <c r="C4" s="198" t="n"/>
      <c r="D4" s="8" t="n"/>
      <c r="E4" s="8" t="n"/>
      <c r="F4" s="8" t="n"/>
      <c r="G4" s="8" t="n"/>
      <c r="H4" s="8" t="n"/>
      <c r="I4" s="10" t="inlineStr">
        <is>
          <t xml:space="preserve">　　　　　　　</t>
        </is>
      </c>
      <c r="J4" s="11" t="n"/>
      <c r="K4" s="11" t="n"/>
    </row>
    <row r="5" ht="21" customFormat="1" customHeight="1" s="2">
      <c r="A5" s="12" t="n"/>
      <c r="B5" s="8" t="n"/>
      <c r="C5" s="8" t="n"/>
      <c r="D5" s="8" t="n"/>
      <c r="E5" s="8" t="n"/>
      <c r="F5" s="8" t="n"/>
      <c r="G5" s="8" t="n"/>
      <c r="H5" s="8" t="n"/>
      <c r="I5" s="13" t="n"/>
      <c r="J5" s="14" t="inlineStr">
        <is>
          <t>株式会社ITLINE</t>
        </is>
      </c>
      <c r="K5" s="11" t="n"/>
    </row>
    <row r="6" ht="16.5" customFormat="1" customHeight="1" s="2">
      <c r="A6" s="12" t="inlineStr">
        <is>
          <t>物件</t>
        </is>
      </c>
      <c r="B6" s="15" t="inlineStr">
        <is>
          <t>：　攝津電機工業株式会社</t>
        </is>
      </c>
      <c r="C6" s="41" t="n"/>
      <c r="D6" s="8" t="n"/>
      <c r="E6" s="8" t="n"/>
      <c r="F6" s="8" t="n"/>
      <c r="G6" s="8" t="n"/>
      <c r="H6" s="8" t="n"/>
      <c r="I6" s="13" t="n"/>
      <c r="J6" s="11" t="inlineStr">
        <is>
          <t>〒105-0001</t>
        </is>
      </c>
      <c r="K6" s="11" t="n"/>
    </row>
    <row r="7" ht="12" customFormat="1" customHeight="1" s="2">
      <c r="A7" s="12" t="inlineStr">
        <is>
          <t>有効期限</t>
        </is>
      </c>
      <c r="B7" s="15" t="inlineStr">
        <is>
          <t>：　2026年9月末日</t>
        </is>
      </c>
      <c r="C7" s="41" t="n"/>
      <c r="D7" s="8" t="n"/>
      <c r="E7" s="8" t="n"/>
      <c r="F7" s="8" t="n"/>
      <c r="G7" s="8" t="n"/>
      <c r="H7" s="8" t="n"/>
      <c r="I7" s="13" t="n"/>
      <c r="J7" s="11" t="inlineStr">
        <is>
          <t>東京都港区虎ノ門3-25-5</t>
        </is>
      </c>
      <c r="K7" s="11" t="n"/>
    </row>
    <row r="8" ht="12" customFormat="1" customHeight="1" s="2">
      <c r="A8" s="12" t="inlineStr">
        <is>
          <t>支払条件</t>
        </is>
      </c>
      <c r="B8" s="15" t="inlineStr">
        <is>
          <t>：　納品完了月末締翌月末払</t>
        </is>
      </c>
      <c r="C8" s="15" t="n"/>
      <c r="D8" s="124" t="n"/>
      <c r="E8" s="124" t="n"/>
      <c r="F8" s="124" t="n"/>
      <c r="G8" s="124" t="n"/>
      <c r="H8" s="124" t="n"/>
      <c r="I8" s="124" t="n"/>
      <c r="J8" s="11" t="inlineStr">
        <is>
          <t>ウェリスタワー愛宕虎ノ門1003</t>
        </is>
      </c>
      <c r="K8" s="11" t="n"/>
    </row>
    <row r="9" ht="12" customFormat="1" customHeight="1" s="2">
      <c r="A9" s="12" t="inlineStr">
        <is>
          <t>納品データ形式</t>
        </is>
      </c>
      <c r="B9" s="15" t="inlineStr">
        <is>
          <t>：　WordPress</t>
        </is>
      </c>
      <c r="C9" s="15" t="n"/>
      <c r="D9" s="124" t="n"/>
      <c r="E9" s="124" t="n"/>
      <c r="F9" s="124" t="n"/>
      <c r="G9" s="124" t="n"/>
      <c r="H9" s="124" t="n"/>
      <c r="I9" s="124" t="n"/>
      <c r="J9" s="11" t="inlineStr">
        <is>
          <t>TEL：080-3643-6501</t>
        </is>
      </c>
      <c r="K9" s="11" t="n"/>
    </row>
    <row r="10" ht="12" customFormat="1" customHeight="1" s="2">
      <c r="A10" s="12" t="inlineStr">
        <is>
          <t>納品予定日</t>
        </is>
      </c>
      <c r="B10" s="17" t="inlineStr">
        <is>
          <t>：　着手より3～4か月</t>
        </is>
      </c>
      <c r="C10" s="15" t="n"/>
      <c r="D10" s="124" t="n"/>
      <c r="E10" s="124" t="n"/>
      <c r="F10" s="124" t="n"/>
      <c r="G10" s="124" t="n"/>
      <c r="H10" s="124" t="n"/>
      <c r="I10" s="13" t="n"/>
      <c r="J10" s="11" t="inlineStr">
        <is>
          <t>担当：小玉　知伸</t>
        </is>
      </c>
      <c r="K10" s="13" t="n"/>
    </row>
    <row r="11" ht="12" customFormat="1" customHeight="1" s="2">
      <c r="A11" s="12" t="inlineStr">
        <is>
          <t>URL</t>
        </is>
      </c>
      <c r="B11" s="199" t="inlineStr">
        <is>
          <t>：　http://www.sd-kogyo.co.jp/</t>
        </is>
      </c>
      <c r="D11" s="18" t="n"/>
      <c r="E11" s="18" t="n"/>
      <c r="F11" s="18" t="n"/>
      <c r="G11" s="18" t="n"/>
      <c r="H11" s="18" t="n"/>
      <c r="I11" s="18" t="n"/>
      <c r="J11" s="13" t="n"/>
      <c r="K11" s="13" t="n"/>
    </row>
    <row r="12" ht="26.25" customFormat="1" customHeight="1" s="2" thickBot="1">
      <c r="A12" s="200" t="n"/>
      <c r="C12" s="19">
        <f>"　　　　　　　　合計　　　　　￥"&amp;TEXT(K33,"#,##0")&amp;"（税込み）"</f>
        <v/>
      </c>
      <c r="D12" s="19" t="n"/>
      <c r="E12" s="19" t="n"/>
      <c r="F12" s="19" t="n"/>
      <c r="G12" s="19" t="n"/>
      <c r="H12" s="19" t="n"/>
      <c r="I12" s="19" t="n"/>
      <c r="J12" s="13" t="n"/>
      <c r="K12" s="13" t="n"/>
    </row>
    <row r="13" ht="16.5" customFormat="1" customHeight="1" s="2" thickBot="1">
      <c r="A13" s="12" t="n"/>
      <c r="B13" s="124" t="n"/>
      <c r="C13" s="124" t="n"/>
      <c r="D13" s="124" t="n"/>
      <c r="E13" s="124" t="n"/>
      <c r="F13" s="124" t="n"/>
      <c r="G13" s="124" t="n"/>
      <c r="H13" s="124" t="n"/>
      <c r="I13" s="13" t="n"/>
      <c r="J13" s="13" t="n"/>
      <c r="K13" s="13" t="n"/>
    </row>
    <row r="14" ht="20" customHeight="1" s="201" thickBot="1">
      <c r="A14" s="134" t="inlineStr">
        <is>
          <t>種類</t>
        </is>
      </c>
      <c r="B14" s="202" t="n"/>
      <c r="C14" s="81" t="inlineStr">
        <is>
          <t>商品名</t>
        </is>
      </c>
      <c r="D14" s="81" t="inlineStr">
        <is>
          <t>数量</t>
        </is>
      </c>
      <c r="E14" s="202" t="n"/>
      <c r="F14" s="81" t="inlineStr">
        <is>
          <t>単位</t>
        </is>
      </c>
      <c r="G14" s="202" t="n"/>
      <c r="H14" s="81" t="inlineStr">
        <is>
          <t>単価（税抜き）</t>
        </is>
      </c>
      <c r="I14" s="203" t="n"/>
      <c r="J14" s="202" t="n"/>
      <c r="K14" s="21" t="inlineStr">
        <is>
          <t>合計（税抜き）</t>
        </is>
      </c>
    </row>
    <row r="15" ht="20" customHeight="1" s="201" thickTop="1">
      <c r="A15" s="178" t="inlineStr">
        <is>
          <t>プロジェクト管理費(10%)</t>
        </is>
      </c>
      <c r="B15" s="204" t="n"/>
      <c r="C15" s="42" t="inlineStr">
        <is>
          <t>サイト設計／ディレクション／オンライン取材（Zoom）</t>
        </is>
      </c>
      <c r="D15" s="164" t="n">
        <v>1</v>
      </c>
      <c r="E15" s="204" t="n"/>
      <c r="F15" s="167" t="inlineStr">
        <is>
          <t>式</t>
        </is>
      </c>
      <c r="G15" s="204" t="n"/>
      <c r="H15" s="205" t="n">
        <v>200000</v>
      </c>
      <c r="I15" s="206" t="n"/>
      <c r="J15" s="204" t="n"/>
      <c r="K15" s="207">
        <f>D15*H15</f>
        <v/>
      </c>
      <c r="L15" s="44" t="n"/>
      <c r="M15" s="44" t="n"/>
      <c r="N15" s="44" t="n"/>
    </row>
    <row r="16" ht="20" customHeight="1" s="201">
      <c r="A16" s="208" t="n"/>
      <c r="B16" s="209" t="n"/>
      <c r="C16" s="22" t="inlineStr">
        <is>
          <t>ワイヤーフレーム及びサイトマップ作成</t>
        </is>
      </c>
      <c r="D16" s="210" t="n"/>
      <c r="E16" s="209" t="n"/>
      <c r="F16" s="210" t="n"/>
      <c r="G16" s="209" t="n"/>
      <c r="H16" s="210" t="n"/>
      <c r="J16" s="209" t="n"/>
      <c r="K16" s="211" t="n"/>
      <c r="L16" s="44" t="n"/>
      <c r="M16" s="44" t="n"/>
      <c r="N16" s="44" t="n"/>
    </row>
    <row r="17" ht="20" customHeight="1" s="201" thickBot="1">
      <c r="A17" s="212" t="n"/>
      <c r="B17" s="213" t="n"/>
      <c r="C17" s="27" t="inlineStr">
        <is>
          <t>コンテンツ企画提案（4本柱・ターゲット別導線設計）</t>
        </is>
      </c>
      <c r="D17" s="214" t="n"/>
      <c r="E17" s="215" t="n"/>
      <c r="F17" s="214" t="n"/>
      <c r="G17" s="215" t="n"/>
      <c r="H17" s="214" t="n"/>
      <c r="I17" s="216" t="n"/>
      <c r="J17" s="215" t="n"/>
      <c r="K17" s="217" t="n"/>
      <c r="L17" s="44" t="n"/>
      <c r="M17" s="44" t="n"/>
      <c r="N17" s="44" t="n"/>
    </row>
    <row r="18" ht="20" customHeight="1" s="201" thickBot="1" thickTop="1">
      <c r="A18" s="178" t="inlineStr">
        <is>
          <t>CMS（WordPress）構築費</t>
        </is>
      </c>
      <c r="B18" s="218" t="n"/>
      <c r="C18" s="24" t="inlineStr">
        <is>
          <t>共通テンプレート設計（ヘッダ／フッタ／グローバルナビ／パンくず）・別サーバー移行（ドメイン維持・メール環境保全）・権限／SEO設定</t>
        </is>
      </c>
      <c r="D18" s="87" t="n">
        <v>1</v>
      </c>
      <c r="E18" s="218" t="n"/>
      <c r="F18" s="148" t="inlineStr">
        <is>
          <t>式</t>
        </is>
      </c>
      <c r="G18" s="218" t="n"/>
      <c r="H18" s="219" t="n">
        <v>250000</v>
      </c>
      <c r="J18" s="209" t="n"/>
      <c r="K18" s="220">
        <f>D18*H18</f>
        <v/>
      </c>
      <c r="L18" s="44" t="n"/>
      <c r="M18" s="44" t="n"/>
      <c r="N18" s="44" t="n"/>
    </row>
    <row r="19" ht="20" customHeight="1" s="201" thickTop="1">
      <c r="A19" s="178" t="inlineStr">
        <is>
          <t>デザイン/コーディング費（PC/SP）</t>
        </is>
      </c>
      <c r="B19" s="204" t="n"/>
      <c r="C19" s="42" t="inlineStr">
        <is>
          <t>PCSP_TOPページ グローバルデザイン／コーディング（近未来UIリッチコンテンツ）</t>
        </is>
      </c>
      <c r="D19" s="169" t="n">
        <v>1</v>
      </c>
      <c r="E19" s="204" t="n"/>
      <c r="F19" s="173" t="inlineStr">
        <is>
          <t>P</t>
        </is>
      </c>
      <c r="G19" s="204" t="n"/>
      <c r="H19" s="221" t="n">
        <v>300000</v>
      </c>
      <c r="I19" s="206" t="n"/>
      <c r="J19" s="204" t="n"/>
      <c r="K19" s="220">
        <f>D19*H19</f>
        <v/>
      </c>
      <c r="L19" s="44" t="n"/>
      <c r="M19" s="44" t="n"/>
      <c r="N19" s="44" t="n"/>
    </row>
    <row r="20" ht="20" customHeight="1" s="201">
      <c r="A20" s="208" t="n"/>
      <c r="B20" s="209" t="n"/>
      <c r="C20" s="22" t="inlineStr">
        <is>
          <t>PCSP_専用デザインページ（会社・事業・実績・採用 各セクションTOP／品質・安全）</t>
        </is>
      </c>
      <c r="D20" s="156" t="n">
        <v>5</v>
      </c>
      <c r="E20" s="222" t="n"/>
      <c r="F20" s="121" t="inlineStr">
        <is>
          <t>P</t>
        </is>
      </c>
      <c r="G20" s="222" t="n"/>
      <c r="H20" s="223" t="n">
        <v>50000</v>
      </c>
      <c r="I20" s="224" t="n"/>
      <c r="J20" s="222" t="n"/>
      <c r="K20" s="225">
        <f>D20*H20</f>
        <v/>
      </c>
      <c r="L20" s="44" t="n"/>
      <c r="M20" s="44" t="n"/>
      <c r="N20" s="44" t="n"/>
    </row>
    <row r="21" ht="20" customHeight="1" s="201">
      <c r="A21" s="208" t="n"/>
      <c r="B21" s="209" t="n"/>
      <c r="C21" s="22" t="inlineStr">
        <is>
          <t>PCSP_下層共通テンプレート デザイン／コーディング</t>
        </is>
      </c>
      <c r="D21" s="156" t="n">
        <v>1</v>
      </c>
      <c r="E21" s="222" t="n"/>
      <c r="F21" s="121" t="inlineStr">
        <is>
          <t>式</t>
        </is>
      </c>
      <c r="G21" s="222" t="n"/>
      <c r="H21" s="223" t="n">
        <v>50000</v>
      </c>
      <c r="I21" s="224" t="n"/>
      <c r="J21" s="222" t="n"/>
      <c r="K21" s="225">
        <f>D21*H21</f>
        <v/>
      </c>
      <c r="L21" s="44" t="n"/>
      <c r="M21" s="44" t="n"/>
      <c r="N21" s="44" t="n"/>
    </row>
    <row r="22" ht="20" customHeight="1" s="201">
      <c r="A22" s="208" t="n"/>
      <c r="B22" s="209" t="n"/>
      <c r="C22" s="22" t="inlineStr">
        <is>
          <t>PCSP_下層ページ デザイン／コーディング</t>
        </is>
      </c>
      <c r="D22" s="156" t="n">
        <v>18</v>
      </c>
      <c r="E22" s="222" t="n"/>
      <c r="F22" s="121" t="inlineStr">
        <is>
          <t>P</t>
        </is>
      </c>
      <c r="G22" s="222" t="n"/>
      <c r="H22" s="226" t="n">
        <v>25000</v>
      </c>
      <c r="I22" s="224" t="n"/>
      <c r="J22" s="222" t="n"/>
      <c r="K22" s="227">
        <f>D22*H22</f>
        <v/>
      </c>
      <c r="L22" s="44" t="n"/>
      <c r="M22" s="44" t="n"/>
      <c r="N22" s="44" t="n"/>
    </row>
    <row r="23" ht="20" customHeight="1" s="201">
      <c r="A23" s="208" t="n"/>
      <c r="B23" s="209" t="n"/>
      <c r="C23" s="22" t="inlineStr">
        <is>
          <t>PCSP_お知らせ（一覧／詳細標準ページ）</t>
        </is>
      </c>
      <c r="D23" s="156" t="n">
        <v>2</v>
      </c>
      <c r="E23" s="222" t="n"/>
      <c r="F23" s="121" t="inlineStr">
        <is>
          <t>P</t>
        </is>
      </c>
      <c r="G23" s="222" t="n"/>
      <c r="H23" s="223" t="n">
        <v>25000</v>
      </c>
      <c r="I23" s="224" t="n"/>
      <c r="J23" s="222" t="n"/>
      <c r="K23" s="225">
        <f>D23*H23</f>
        <v/>
      </c>
      <c r="L23" s="44" t="n"/>
      <c r="M23" s="44" t="n"/>
      <c r="N23" s="45" t="n"/>
    </row>
    <row r="24" ht="20" customHeight="1" s="201" thickBot="1">
      <c r="A24" s="212" t="n"/>
      <c r="B24" s="213" t="n"/>
      <c r="C24" s="27" t="inlineStr">
        <is>
          <t>システムページ（404／403／メンテナンス／ソーリー標準設定）</t>
        </is>
      </c>
      <c r="D24" s="122" t="n">
        <v>4</v>
      </c>
      <c r="E24" s="228" t="n"/>
      <c r="F24" s="121" t="inlineStr">
        <is>
          <t>P</t>
        </is>
      </c>
      <c r="G24" s="222" t="n"/>
      <c r="H24" s="223" t="n">
        <v>15000</v>
      </c>
      <c r="I24" s="224" t="n"/>
      <c r="J24" s="222" t="n"/>
      <c r="K24" s="225">
        <f>D24*H24</f>
        <v/>
      </c>
      <c r="L24" s="44" t="n"/>
      <c r="M24" s="44" t="n"/>
      <c r="N24" s="44" t="n"/>
    </row>
    <row r="25" ht="20" customHeight="1" s="201" thickBot="1" thickTop="1">
      <c r="A25" s="176" t="inlineStr">
        <is>
          <t>システム構築費</t>
        </is>
      </c>
      <c r="B25" s="213" t="n"/>
      <c r="C25" s="29" t="inlineStr">
        <is>
          <t>構造化データ実装・ニュースリリース機能・お問い合わせフォーム（確認／完了／自動返信）</t>
        </is>
      </c>
      <c r="D25" s="140" t="n">
        <v>1</v>
      </c>
      <c r="E25" s="213" t="n"/>
      <c r="F25" s="148" t="inlineStr">
        <is>
          <t>式</t>
        </is>
      </c>
      <c r="G25" s="218" t="n"/>
      <c r="H25" s="221" t="n">
        <v>130000</v>
      </c>
      <c r="I25" s="206" t="n"/>
      <c r="J25" s="204" t="n"/>
      <c r="K25" s="220">
        <f>D25*H25</f>
        <v/>
      </c>
      <c r="L25" s="44" t="n"/>
      <c r="M25" s="44" t="n"/>
      <c r="N25" s="44" t="n"/>
    </row>
    <row r="26" ht="20" customHeight="1" s="201" thickTop="1">
      <c r="A26" s="229" t="inlineStr">
        <is>
          <t>生成AIチャットボット構築費</t>
        </is>
      </c>
      <c r="B26" s="204" t="n"/>
      <c r="C26" s="42" t="inlineStr">
        <is>
          <t>生成AIチャットボット 初期構築（学習データ設定・社内FAQ連携・UI組込・チューニング）</t>
        </is>
      </c>
      <c r="D26" s="169" t="n">
        <v>1</v>
      </c>
      <c r="E26" s="204" t="n"/>
      <c r="F26" s="173" t="inlineStr">
        <is>
          <t>式</t>
        </is>
      </c>
      <c r="G26" s="204" t="n"/>
      <c r="H26" s="221" t="n">
        <v>450000</v>
      </c>
      <c r="I26" s="206" t="n"/>
      <c r="J26" s="204" t="n"/>
      <c r="K26" s="220">
        <f>D26*H26</f>
        <v/>
      </c>
      <c r="L26" s="44" t="n"/>
      <c r="M26" s="44" t="n"/>
      <c r="N26" s="44" t="n"/>
    </row>
    <row r="27" ht="20" customHeight="1" s="201" thickBot="1">
      <c r="A27" s="212" t="n"/>
      <c r="B27" s="213" t="n"/>
      <c r="C27" s="27" t="inlineStr">
        <is>
          <t>（公開後の学習チューニング・初期サポートを含む／月額運用費は月額表に記載）</t>
        </is>
      </c>
      <c r="D27" s="122" t="n"/>
      <c r="E27" s="228" t="n"/>
      <c r="F27" s="89" t="n"/>
      <c r="G27" s="228" t="n"/>
      <c r="H27" s="230" t="n"/>
      <c r="I27" s="231" t="n"/>
      <c r="J27" s="228" t="n"/>
      <c r="K27" s="232" t="n"/>
      <c r="L27" s="44" t="n"/>
      <c r="M27" s="44" t="n"/>
      <c r="N27" s="45" t="n"/>
    </row>
    <row r="28" ht="20" customHeight="1" s="201" thickTop="1">
      <c r="A28" s="125" t="inlineStr">
        <is>
          <t>検証・リリース費</t>
        </is>
      </c>
      <c r="B28" s="209" t="n"/>
      <c r="C28" s="23" t="inlineStr">
        <is>
          <t>表示・挙動テスト（各OS・ブラウザ／CWV／モバイルフレンドリー）・ステージング検証</t>
        </is>
      </c>
      <c r="D28" s="133" t="n">
        <v>1</v>
      </c>
      <c r="E28" s="209" t="n"/>
      <c r="F28" s="160" t="inlineStr">
        <is>
          <t>式</t>
        </is>
      </c>
      <c r="G28" s="209" t="n"/>
      <c r="H28" s="233" t="n">
        <v>80000</v>
      </c>
      <c r="J28" s="209" t="n"/>
      <c r="K28" s="234">
        <f>D28*H28</f>
        <v/>
      </c>
      <c r="L28" s="44" t="n"/>
      <c r="M28" s="44" t="n"/>
      <c r="N28" s="44" t="n"/>
    </row>
    <row r="29" ht="20" customHeight="1" s="201" thickBot="1">
      <c r="A29" s="208" t="n"/>
      <c r="B29" s="209" t="n"/>
      <c r="C29" s="22" t="inlineStr">
        <is>
          <t>公開作業／本番反映・SSL設定・CMS操作講習（オンライン）</t>
        </is>
      </c>
      <c r="D29" s="156" t="n">
        <v>1</v>
      </c>
      <c r="E29" s="222" t="n"/>
      <c r="F29" s="121" t="inlineStr">
        <is>
          <t>式</t>
        </is>
      </c>
      <c r="G29" s="222" t="n"/>
      <c r="H29" s="223" t="n">
        <v>40000</v>
      </c>
      <c r="I29" s="224" t="n"/>
      <c r="J29" s="222" t="n"/>
      <c r="K29" s="225">
        <f>D29*H29</f>
        <v/>
      </c>
      <c r="L29" s="44" t="n"/>
      <c r="M29" s="44" t="n"/>
      <c r="N29" s="44" t="n"/>
    </row>
    <row r="30" ht="20" customHeight="1" s="201" thickBot="1" thickTop="1">
      <c r="A30" s="188" t="inlineStr">
        <is>
          <t>割引</t>
        </is>
      </c>
      <c r="B30" s="218" t="n"/>
      <c r="C30" s="71" t="inlineStr">
        <is>
          <t>インフォネット様特別割引</t>
        </is>
      </c>
      <c r="D30" s="141" t="n">
        <v>1</v>
      </c>
      <c r="E30" s="218" t="n"/>
      <c r="F30" s="146" t="n"/>
      <c r="G30" s="218" t="n"/>
      <c r="H30" s="235" t="n">
        <v>-110000</v>
      </c>
      <c r="I30" s="236" t="n"/>
      <c r="J30" s="218" t="n"/>
      <c r="K30" s="237">
        <f>D30*H30</f>
        <v/>
      </c>
      <c r="L30" s="44" t="n"/>
      <c r="M30" s="44" t="n"/>
      <c r="N30" s="44" t="n"/>
    </row>
    <row r="31" ht="20" customHeight="1" s="201" thickTop="1">
      <c r="A31" s="31" t="inlineStr">
        <is>
          <t>備考</t>
        </is>
      </c>
      <c r="B31" s="73" t="n"/>
      <c r="C31" s="48" t="n"/>
      <c r="D31" s="48" t="n"/>
      <c r="E31" s="73" t="n"/>
      <c r="F31" s="48" t="n"/>
      <c r="G31" s="73" t="n"/>
      <c r="H31" s="92" t="inlineStr">
        <is>
          <t>小計</t>
        </is>
      </c>
      <c r="I31" s="216" t="n"/>
      <c r="J31" s="215" t="n"/>
      <c r="K31" s="238">
        <f>SUM(K15:K30)</f>
        <v/>
      </c>
      <c r="L31" s="47" t="n"/>
      <c r="M31" s="44" t="n"/>
      <c r="N31" s="44" t="n"/>
    </row>
    <row r="32" ht="20" customHeight="1" s="201" thickTop="1">
      <c r="A32" s="157" t="inlineStr">
        <is>
          <t>・　同梱サイトマップ（第1フェーズ・約25ページ）及び攝津電機工業様 提案デザインに基づき算出しております。
・　本案件は株式会社インフォネット様 主管、株式会社ITLINEは制作パートナーとして制作原価にてお見積りしております。
・　生成AIチャットボットは初期構築費に学習データ設定・社内FAQ連携・UI組込・チューニングを含みます（月額運用費は月額表に記載）。
・　別サーバーへの移行に際し、現行ドメインの維持・社内メール環境（MX）の保全を行います。
・　新規撮影・ドローン空撮・新規ライティングは本見積に含みません（ご要望に応じ別途お見積りいたします）。
・　お知らせ／404／403／メンテナンス／ソーリーは標準ページを使用いたします。</t>
        </is>
      </c>
      <c r="G32" s="209" t="n"/>
      <c r="H32" s="156" t="inlineStr">
        <is>
          <t>消費税</t>
        </is>
      </c>
      <c r="I32" s="224" t="n"/>
      <c r="J32" s="222" t="n"/>
      <c r="K32" s="225">
        <f>K31*0.1</f>
        <v/>
      </c>
      <c r="L32" s="44" t="n"/>
      <c r="M32" s="44" t="n"/>
      <c r="N32" s="44" t="n"/>
    </row>
    <row r="33" ht="40" customHeight="1" s="201" thickBot="1">
      <c r="A33" s="239" t="n"/>
      <c r="B33" s="198" t="n"/>
      <c r="C33" s="198" t="n"/>
      <c r="D33" s="198" t="n"/>
      <c r="E33" s="198" t="n"/>
      <c r="F33" s="198" t="n"/>
      <c r="G33" s="240" t="n"/>
      <c r="H33" s="118" t="inlineStr">
        <is>
          <t>総額</t>
        </is>
      </c>
      <c r="I33" s="241" t="n"/>
      <c r="J33" s="242" t="n"/>
      <c r="K33" s="243">
        <f>K31+K32</f>
        <v/>
      </c>
      <c r="L33" s="44" t="n"/>
      <c r="M33" s="44" t="n"/>
      <c r="N33" s="44" t="n"/>
    </row>
    <row r="34" ht="20" customHeight="1" s="201">
      <c r="A34" s="48" t="n"/>
      <c r="B34" s="48" t="n"/>
      <c r="C34" s="48" t="n"/>
      <c r="D34" s="48" t="n"/>
      <c r="E34" s="48" t="n"/>
      <c r="F34" s="48" t="n"/>
      <c r="G34" s="48" t="n"/>
      <c r="H34" s="49" t="n"/>
      <c r="I34" s="129" t="n"/>
      <c r="J34" s="129" t="n"/>
      <c r="K34" s="244" t="n"/>
      <c r="L34" s="51" t="n"/>
      <c r="M34" s="47" t="n"/>
      <c r="N34" s="44" t="n"/>
    </row>
    <row r="35" ht="20" customHeight="1" s="201" thickBot="1">
      <c r="A35" s="52" t="n"/>
      <c r="B35" s="129" t="n"/>
      <c r="C35" s="161">
        <f>"　　　　　    月額合計　　　　　￥"&amp;TEXT(K43,"#,##0")&amp;"（税込み）"</f>
        <v/>
      </c>
      <c r="D35" s="198" t="n"/>
      <c r="E35" s="198" t="n"/>
      <c r="F35" s="198" t="n"/>
      <c r="G35" s="198" t="n"/>
      <c r="H35" s="198" t="n"/>
      <c r="I35" s="198" t="n"/>
      <c r="J35" s="198" t="n"/>
      <c r="K35" s="244" t="n"/>
      <c r="L35" s="44" t="n"/>
      <c r="M35" s="44" t="n"/>
      <c r="N35" s="44" t="n"/>
    </row>
    <row r="36" ht="20" customHeight="1" s="201" thickBot="1">
      <c r="A36" s="129" t="n"/>
      <c r="B36" s="129" t="n"/>
      <c r="C36" s="129" t="n"/>
      <c r="D36" s="129" t="n"/>
      <c r="E36" s="129" t="n"/>
      <c r="F36" s="129" t="n"/>
      <c r="G36" s="129" t="n"/>
      <c r="H36" s="53" t="n"/>
      <c r="I36" s="129" t="n"/>
      <c r="J36" s="129" t="n"/>
      <c r="K36" s="245" t="n"/>
      <c r="L36" s="44" t="n"/>
      <c r="M36" s="44" t="n"/>
      <c r="N36" s="44" t="n"/>
    </row>
    <row r="37" ht="20" customHeight="1" s="201" thickBot="1">
      <c r="A37" s="134" t="inlineStr">
        <is>
          <t>請求区分</t>
        </is>
      </c>
      <c r="B37" s="202" t="n"/>
      <c r="C37" s="81" t="inlineStr">
        <is>
          <t>商品名</t>
        </is>
      </c>
      <c r="D37" s="81" t="inlineStr">
        <is>
          <t>数量</t>
        </is>
      </c>
      <c r="E37" s="202" t="n"/>
      <c r="F37" s="81" t="inlineStr">
        <is>
          <t>単位</t>
        </is>
      </c>
      <c r="G37" s="202" t="n"/>
      <c r="H37" s="81" t="inlineStr">
        <is>
          <t>単価（税抜き）</t>
        </is>
      </c>
      <c r="I37" s="203" t="n"/>
      <c r="J37" s="202" t="n"/>
      <c r="K37" s="21" t="inlineStr">
        <is>
          <t>月額（税抜き）</t>
        </is>
      </c>
      <c r="L37" s="44" t="n"/>
      <c r="M37" s="44" t="n"/>
      <c r="N37" s="44" t="n"/>
    </row>
    <row r="38" ht="20.5" customHeight="1" s="201" thickBot="1" thickTop="1">
      <c r="A38" s="163" t="inlineStr">
        <is>
          <t>月額利用料</t>
        </is>
      </c>
      <c r="B38" s="204" t="n"/>
      <c r="C38" s="35" t="inlineStr">
        <is>
          <t>障害対応・パッチ対応・アップデート（月2回）・簡易更新／保守バックアップ（月5h程度）・別サーバー利用／セキュリティ対策</t>
        </is>
      </c>
      <c r="D38" s="167" t="n">
        <v>1</v>
      </c>
      <c r="E38" s="246" t="n"/>
      <c r="F38" s="167" t="inlineStr">
        <is>
          <t>式</t>
        </is>
      </c>
      <c r="G38" s="246" t="n"/>
      <c r="H38" s="205" t="n">
        <v>15000</v>
      </c>
      <c r="I38" s="247" t="n"/>
      <c r="J38" s="246" t="n"/>
      <c r="K38" s="207">
        <f>D38*H38</f>
        <v/>
      </c>
      <c r="L38" s="44" t="n"/>
      <c r="M38" s="44" t="n"/>
      <c r="N38" s="44" t="n"/>
    </row>
    <row r="39" ht="20.5" customHeight="1" s="201" thickTop="1">
      <c r="A39" s="208" t="n"/>
      <c r="B39" s="209" t="n"/>
      <c r="C39" s="55" t="inlineStr">
        <is>
          <t>生成AIチャットボット 月額運用（応答監視・チューニング・モデル更新／問い合わせ自動応答）</t>
        </is>
      </c>
      <c r="D39" s="91" t="n">
        <v>1</v>
      </c>
      <c r="E39" s="222" t="n"/>
      <c r="F39" s="91" t="inlineStr">
        <is>
          <t>式</t>
        </is>
      </c>
      <c r="G39" s="222" t="n"/>
      <c r="H39" s="226" t="n">
        <v>25000</v>
      </c>
      <c r="I39" s="224" t="n"/>
      <c r="J39" s="222" t="n"/>
      <c r="K39" s="248">
        <f>D39*H39</f>
        <v/>
      </c>
      <c r="L39" s="44" t="n"/>
      <c r="M39" s="44" t="n"/>
      <c r="N39" s="44" t="n"/>
    </row>
    <row r="40" ht="20.5" customHeight="1" s="201" thickBot="1">
      <c r="A40" s="212" t="n"/>
      <c r="B40" s="213" t="n"/>
      <c r="C40" s="33" t="n"/>
      <c r="D40" s="100" t="n"/>
      <c r="E40" s="228" t="n"/>
      <c r="F40" s="100" t="n"/>
      <c r="G40" s="228" t="n"/>
      <c r="H40" s="249" t="n"/>
      <c r="I40" s="250" t="n"/>
      <c r="J40" s="213" t="n"/>
      <c r="K40" s="251" t="n"/>
      <c r="L40" s="44" t="n"/>
      <c r="M40" s="44" t="n"/>
      <c r="N40" s="44" t="n"/>
    </row>
    <row r="41" ht="20.5" customHeight="1" s="201" thickTop="1">
      <c r="A41" s="31" t="inlineStr">
        <is>
          <t>備考</t>
        </is>
      </c>
      <c r="B41" s="46" t="n"/>
      <c r="C41" s="32" t="n"/>
      <c r="D41" s="32" t="n"/>
      <c r="E41" s="46" t="n"/>
      <c r="F41" s="32" t="n"/>
      <c r="G41" s="46" t="n"/>
      <c r="H41" s="92" t="inlineStr">
        <is>
          <t>小計</t>
        </is>
      </c>
      <c r="I41" s="216" t="n"/>
      <c r="J41" s="215" t="n"/>
      <c r="K41" s="238">
        <f>SUM(K38:K40)</f>
        <v/>
      </c>
      <c r="L41" s="44" t="n"/>
      <c r="M41" s="44" t="n"/>
      <c r="N41" s="44" t="n"/>
    </row>
    <row r="42" ht="20" customHeight="1" s="201">
      <c r="A42" s="174" t="inlineStr">
        <is>
          <t>・　サーバー及びCMSサポートは月額15,000円（税抜）にて、別サーバー利用・セキュリティ対策・バックアップを含みます。
・　生成AIチャットボットは月額25,000円（税抜）の運用費となります。
・　Xサーバー等の共用サーバーでのお見積りとなります。</t>
        </is>
      </c>
      <c r="G42" s="209" t="n"/>
      <c r="H42" s="166" t="inlineStr">
        <is>
          <t>消費税</t>
        </is>
      </c>
      <c r="I42" s="224" t="n"/>
      <c r="J42" s="222" t="n"/>
      <c r="K42" s="227">
        <f>K41*0.1</f>
        <v/>
      </c>
      <c r="L42" s="44" t="n"/>
      <c r="M42" s="44" t="n"/>
      <c r="N42" s="44" t="n"/>
    </row>
    <row r="43" ht="40" customHeight="1" s="201" thickBot="1">
      <c r="A43" s="239" t="n"/>
      <c r="B43" s="198" t="n"/>
      <c r="C43" s="198" t="n"/>
      <c r="D43" s="198" t="n"/>
      <c r="E43" s="198" t="n"/>
      <c r="F43" s="198" t="n"/>
      <c r="G43" s="240" t="n"/>
      <c r="H43" s="118" t="inlineStr">
        <is>
          <t>総額</t>
        </is>
      </c>
      <c r="I43" s="241" t="n"/>
      <c r="J43" s="242" t="n"/>
      <c r="K43" s="243">
        <f>K41+K42</f>
        <v/>
      </c>
      <c r="L43" s="44" t="n"/>
      <c r="M43" s="44" t="n"/>
      <c r="N43" s="44" t="n"/>
    </row>
    <row r="44" ht="20" customHeight="1" s="201">
      <c r="A44" s="129" t="n"/>
      <c r="B44" s="129" t="n"/>
      <c r="C44" s="74" t="n"/>
      <c r="D44" s="75" t="n"/>
      <c r="E44" s="76" t="n"/>
      <c r="F44" s="75" t="n"/>
      <c r="G44" s="76" t="n"/>
      <c r="H44" s="252" t="n"/>
      <c r="I44" s="76" t="n"/>
      <c r="J44" s="76" t="n"/>
      <c r="K44" s="244" t="n"/>
      <c r="L44" s="44" t="n"/>
      <c r="M44" s="44" t="n"/>
      <c r="N44" s="44" t="n"/>
    </row>
    <row r="45" ht="20" customHeight="1" s="201" thickBot="1">
      <c r="A45" s="48" t="n"/>
      <c r="B45" s="48" t="n"/>
      <c r="C45" s="165">
        <f>"　　　　　    年額合計　　　　　 ￥"&amp;TEXT(K53,"#,##0")&amp;"（税込み）"</f>
        <v/>
      </c>
      <c r="D45" s="198" t="n"/>
      <c r="E45" s="198" t="n"/>
      <c r="F45" s="198" t="n"/>
      <c r="G45" s="198" t="n"/>
      <c r="H45" s="198" t="n"/>
      <c r="I45" s="198" t="n"/>
      <c r="J45" s="198" t="n"/>
      <c r="K45" s="244" t="n"/>
      <c r="L45" s="44" t="n"/>
      <c r="M45" s="44" t="n"/>
      <c r="N45" s="44" t="n"/>
    </row>
    <row r="46" ht="20" customHeight="1" s="201" thickBot="1">
      <c r="A46" s="52" t="n"/>
      <c r="B46" s="129" t="n"/>
      <c r="C46" s="129" t="n"/>
      <c r="D46" s="129" t="n"/>
      <c r="E46" s="129" t="n"/>
      <c r="F46" s="129" t="n"/>
      <c r="G46" s="129" t="n"/>
      <c r="H46" s="49" t="n"/>
      <c r="I46" s="129" t="n"/>
      <c r="J46" s="129" t="n"/>
      <c r="K46" s="244" t="n"/>
      <c r="L46" s="44" t="n"/>
      <c r="M46" s="44" t="n"/>
      <c r="N46" s="44" t="n"/>
    </row>
    <row r="47" ht="20" customHeight="1" s="201" thickBot="1">
      <c r="A47" s="179" t="inlineStr">
        <is>
          <t>種類</t>
        </is>
      </c>
      <c r="B47" s="202" t="n"/>
      <c r="C47" s="96" t="inlineStr">
        <is>
          <t>商品名</t>
        </is>
      </c>
      <c r="D47" s="96" t="inlineStr">
        <is>
          <t>数量</t>
        </is>
      </c>
      <c r="E47" s="202" t="n"/>
      <c r="F47" s="96" t="inlineStr">
        <is>
          <t>単位</t>
        </is>
      </c>
      <c r="G47" s="202" t="n"/>
      <c r="H47" s="143" t="inlineStr">
        <is>
          <t>単価（税抜き）</t>
        </is>
      </c>
      <c r="I47" s="203" t="n"/>
      <c r="J47" s="202" t="n"/>
      <c r="K47" s="56" t="inlineStr">
        <is>
          <t>合計（税抜き）</t>
        </is>
      </c>
      <c r="L47" s="44" t="n"/>
      <c r="M47" s="44" t="n"/>
      <c r="N47" s="44" t="n"/>
    </row>
    <row r="48" ht="20" customHeight="1" s="201" thickBot="1" thickTop="1">
      <c r="A48" s="178" t="inlineStr">
        <is>
          <t>年次保守費（２年目以降）</t>
        </is>
      </c>
      <c r="B48" s="204" t="n"/>
      <c r="C48" s="30" t="inlineStr">
        <is>
          <t>年間ドメイン更新費（.co.jp）</t>
        </is>
      </c>
      <c r="D48" s="167" t="n">
        <v>1</v>
      </c>
      <c r="E48" s="246" t="n"/>
      <c r="F48" s="167" t="inlineStr">
        <is>
          <t>年</t>
        </is>
      </c>
      <c r="G48" s="246" t="n"/>
      <c r="H48" s="253" t="n">
        <v>5000</v>
      </c>
      <c r="I48" s="247" t="n"/>
      <c r="J48" s="246" t="n"/>
      <c r="K48" s="254">
        <f>D48*H48</f>
        <v/>
      </c>
      <c r="L48" s="44" t="n"/>
      <c r="M48" s="44" t="n"/>
      <c r="N48" s="44" t="n"/>
    </row>
    <row r="49" ht="20" customHeight="1" s="201" thickTop="1">
      <c r="A49" s="208" t="n"/>
      <c r="B49" s="209" t="n"/>
      <c r="C49" s="36" t="inlineStr">
        <is>
          <t>SSLサーバー証明書設定管理（Let's Encrypt）※無料</t>
        </is>
      </c>
      <c r="D49" s="91" t="n">
        <v>1</v>
      </c>
      <c r="E49" s="222" t="n"/>
      <c r="F49" s="91" t="inlineStr">
        <is>
          <t>年</t>
        </is>
      </c>
      <c r="G49" s="222" t="n"/>
      <c r="H49" s="255" t="n">
        <v>0</v>
      </c>
      <c r="I49" s="224" t="n"/>
      <c r="J49" s="222" t="n"/>
      <c r="K49" s="256">
        <f>D49*H49</f>
        <v/>
      </c>
      <c r="L49" s="44" t="n"/>
      <c r="M49" s="44" t="n"/>
      <c r="N49" s="44" t="n"/>
    </row>
    <row r="50" ht="20" customHeight="1" s="201" thickBot="1">
      <c r="A50" s="212" t="n"/>
      <c r="B50" s="213" t="n"/>
      <c r="C50" s="37" t="inlineStr">
        <is>
          <t>管理費（保守・更新管理）</t>
        </is>
      </c>
      <c r="D50" s="100" t="n">
        <v>1</v>
      </c>
      <c r="E50" s="228" t="n"/>
      <c r="F50" s="100" t="inlineStr">
        <is>
          <t>年</t>
        </is>
      </c>
      <c r="G50" s="228" t="n"/>
      <c r="H50" s="249" t="n">
        <v>10000</v>
      </c>
      <c r="I50" s="250" t="n"/>
      <c r="J50" s="213" t="n"/>
      <c r="K50" s="251">
        <f>D50*H50</f>
        <v/>
      </c>
      <c r="L50" s="44" t="n"/>
      <c r="M50" s="44" t="n"/>
      <c r="N50" s="44" t="n"/>
    </row>
    <row r="51" ht="20" customHeight="1" s="201" thickTop="1">
      <c r="A51" s="68" t="inlineStr">
        <is>
          <t>備考</t>
        </is>
      </c>
      <c r="B51" s="137" t="n"/>
      <c r="C51" s="137" t="n"/>
      <c r="D51" s="137" t="n"/>
      <c r="E51" s="137" t="n"/>
      <c r="F51" s="137" t="n"/>
      <c r="G51" s="137" t="n"/>
      <c r="H51" s="95" t="inlineStr">
        <is>
          <t>小計</t>
        </is>
      </c>
      <c r="I51" s="216" t="n"/>
      <c r="J51" s="215" t="n"/>
      <c r="K51" s="257">
        <f>SUM(K48:K50)</f>
        <v/>
      </c>
      <c r="L51" s="44" t="n"/>
      <c r="M51" s="44" t="n"/>
      <c r="N51" s="44" t="n"/>
    </row>
    <row r="52" ht="20" customHeight="1" s="201" thickBot="1">
      <c r="A52" s="182" t="inlineStr">
        <is>
          <t>・　2年目以降の年次保守費（ドメイン更新・管理費）です。初年度の年額費用はかかりません。
・　SSL証明書はLet's Encryptを採用（無料）。
・　月額のサーバー及びCMSサポート費・チャットボット月額は別途、月額表のとおりです。</t>
        </is>
      </c>
      <c r="H52" s="166" t="inlineStr">
        <is>
          <t>消費税</t>
        </is>
      </c>
      <c r="I52" s="224" t="n"/>
      <c r="J52" s="222" t="n"/>
      <c r="K52" s="227">
        <f>K51*0.1</f>
        <v/>
      </c>
      <c r="L52" s="44" t="n"/>
      <c r="M52" s="44" t="n"/>
      <c r="N52" s="44" t="n"/>
    </row>
    <row r="53" ht="40" customHeight="1" s="201" thickBot="1">
      <c r="A53" s="239" t="n"/>
      <c r="B53" s="198" t="n"/>
      <c r="C53" s="198" t="n"/>
      <c r="D53" s="198" t="n"/>
      <c r="E53" s="198" t="n"/>
      <c r="F53" s="198" t="n"/>
      <c r="G53" s="198" t="n"/>
      <c r="H53" s="118" t="inlineStr">
        <is>
          <t>総額</t>
        </is>
      </c>
      <c r="I53" s="241" t="n"/>
      <c r="J53" s="242" t="n"/>
      <c r="K53" s="243">
        <f>K51+K52</f>
        <v/>
      </c>
      <c r="L53" s="44" t="n"/>
      <c r="M53" s="44" t="n"/>
      <c r="N53" s="44" t="n"/>
    </row>
    <row r="54" ht="20" customHeight="1" s="201">
      <c r="A54" s="44" t="n"/>
      <c r="B54" s="44" t="n"/>
      <c r="C54" s="57" t="n"/>
      <c r="D54" s="58" t="n"/>
      <c r="E54" s="44" t="n"/>
      <c r="F54" s="58" t="n"/>
      <c r="G54" s="44" t="n"/>
      <c r="H54" s="258" t="n"/>
      <c r="I54" s="44" t="n"/>
      <c r="J54" s="44" t="n"/>
      <c r="K54" s="44" t="n"/>
      <c r="L54" s="44" t="n"/>
      <c r="M54" s="44" t="n"/>
      <c r="N54" s="44" t="n"/>
    </row>
    <row r="55" ht="20" customHeight="1" s="201" thickTop="1">
      <c r="A55" s="60" t="n"/>
      <c r="B55" s="44" t="n"/>
      <c r="C55" s="44" t="n"/>
      <c r="D55" s="44" t="n"/>
      <c r="E55" s="44" t="n"/>
      <c r="F55" s="44" t="n"/>
      <c r="G55" s="44" t="n"/>
      <c r="H55" s="61" t="n"/>
      <c r="I55" s="44" t="n"/>
      <c r="J55" s="44" t="n"/>
      <c r="K55" s="258" t="n"/>
      <c r="L55" s="44" t="n"/>
      <c r="M55" s="44" t="n"/>
      <c r="N55" s="44" t="n"/>
    </row>
    <row r="56" ht="20" customHeight="1" s="201">
      <c r="A56" s="44" t="n"/>
      <c r="B56" s="44" t="n"/>
      <c r="C56" s="44" t="n"/>
      <c r="D56" s="44" t="n"/>
      <c r="E56" s="44" t="n"/>
      <c r="F56" s="44" t="n"/>
      <c r="G56" s="44" t="n"/>
      <c r="H56" s="61" t="n"/>
      <c r="I56" s="44" t="n"/>
      <c r="J56" s="44" t="n"/>
      <c r="K56" s="258" t="n"/>
      <c r="L56" s="44" t="n"/>
      <c r="M56" s="44" t="n"/>
      <c r="N56" s="44" t="n"/>
    </row>
    <row r="57" ht="21.5" customHeight="1" s="201" thickBot="1">
      <c r="A57" s="44" t="n"/>
      <c r="B57" s="44" t="n"/>
      <c r="C57" s="44" t="n"/>
      <c r="D57" s="44" t="n"/>
      <c r="E57" s="44" t="n"/>
      <c r="F57" s="44" t="n"/>
      <c r="G57" s="44" t="n"/>
      <c r="H57" s="62" t="n"/>
      <c r="I57" s="44" t="n"/>
      <c r="J57" s="44" t="n"/>
      <c r="K57" s="259" t="n"/>
      <c r="L57" s="44" t="n"/>
      <c r="M57" s="44" t="n"/>
      <c r="N57" s="44" t="n"/>
    </row>
    <row r="58" ht="20" customHeight="1" s="201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</row>
    <row r="59" ht="20" customHeight="1" s="201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</row>
    <row r="60" ht="20" customHeight="1" s="201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</row>
    <row r="61" ht="20" customHeight="1" s="201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</row>
    <row r="62" ht="20" customHeight="1" s="201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</row>
    <row r="63" ht="20" customHeight="1" s="201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</row>
    <row r="64" ht="20" customHeight="1" s="201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</row>
    <row r="65" ht="20" customHeight="1" s="201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</row>
    <row r="66" ht="20" customHeight="1" s="201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</row>
    <row r="67" ht="20" customHeight="1" s="201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</row>
    <row r="68" ht="20" customHeight="1" s="201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</row>
    <row r="69" ht="20" customHeight="1" s="201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</row>
    <row r="70" ht="20" customHeight="1" s="201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</row>
    <row r="71" ht="20" customHeight="1" s="201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</row>
    <row r="72" ht="20" customHeight="1" s="201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</row>
    <row r="73" ht="20" customHeight="1" s="201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</row>
    <row r="74" ht="20" customHeight="1" s="201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</row>
    <row r="75" ht="20" customHeight="1" s="201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</row>
    <row r="76" ht="20" customHeight="1" s="201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</row>
    <row r="77" ht="20" customHeight="1" s="201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</row>
    <row r="78" ht="20" customHeight="1" s="201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</row>
    <row r="79" ht="20" customHeight="1" s="201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</row>
    <row r="80" ht="20" customHeight="1" s="201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</row>
    <row r="81" ht="20" customHeight="1" s="201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</row>
    <row r="82" ht="20" customHeight="1" s="201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</row>
    <row r="83" ht="20" customHeight="1" s="201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</row>
    <row r="84" ht="20" customHeight="1" s="201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</row>
    <row r="85" ht="20" customHeight="1" s="201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</row>
    <row r="86" ht="20" customHeight="1" s="201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</row>
    <row r="87" ht="20" customHeight="1" s="201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</row>
    <row r="88" ht="20" customHeight="1" s="201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</row>
    <row r="89" ht="20" customHeight="1" s="201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</row>
    <row r="90" ht="20" customHeight="1" s="201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</row>
    <row r="91" ht="20" customHeight="1" s="201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</row>
    <row r="92" ht="20" customHeight="1" s="201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</row>
    <row r="93" ht="20" customHeight="1" s="201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</row>
    <row r="94" ht="20" customHeight="1" s="201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</row>
    <row r="95" ht="20" customHeight="1" s="201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</row>
    <row r="96" ht="20" customHeight="1" s="201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</row>
  </sheetData>
  <mergeCells count="102">
    <mergeCell ref="D20:E20"/>
    <mergeCell ref="A26:B27"/>
    <mergeCell ref="F29:G29"/>
    <mergeCell ref="F25:G25"/>
    <mergeCell ref="D22:E22"/>
    <mergeCell ref="C35:J35"/>
    <mergeCell ref="H22:J22"/>
    <mergeCell ref="H19:J19"/>
    <mergeCell ref="D48:E48"/>
    <mergeCell ref="A32:G33"/>
    <mergeCell ref="F23:G23"/>
    <mergeCell ref="H30:J30"/>
    <mergeCell ref="D15:E17"/>
    <mergeCell ref="H29:J29"/>
    <mergeCell ref="H38:J38"/>
    <mergeCell ref="D24:E24"/>
    <mergeCell ref="H31:J31"/>
    <mergeCell ref="H40:J40"/>
    <mergeCell ref="D26:E26"/>
    <mergeCell ref="H21:J21"/>
    <mergeCell ref="H51:J51"/>
    <mergeCell ref="A30:B30"/>
    <mergeCell ref="D19:E19"/>
    <mergeCell ref="F19:G19"/>
    <mergeCell ref="A3:C3"/>
    <mergeCell ref="A48:B50"/>
    <mergeCell ref="F30:G30"/>
    <mergeCell ref="B11:C11"/>
    <mergeCell ref="F20:G20"/>
    <mergeCell ref="F18:G18"/>
    <mergeCell ref="A37:B37"/>
    <mergeCell ref="H27:J27"/>
    <mergeCell ref="A4:C4"/>
    <mergeCell ref="K15:K17"/>
    <mergeCell ref="H33:J33"/>
    <mergeCell ref="D47:E47"/>
    <mergeCell ref="H42:J42"/>
    <mergeCell ref="F47:G47"/>
    <mergeCell ref="D37:E37"/>
    <mergeCell ref="A42:G43"/>
    <mergeCell ref="F28:G28"/>
    <mergeCell ref="H20:J20"/>
    <mergeCell ref="D39:E39"/>
    <mergeCell ref="F39:G39"/>
    <mergeCell ref="F48:G48"/>
    <mergeCell ref="A38:B40"/>
    <mergeCell ref="D29:E29"/>
    <mergeCell ref="D23:E23"/>
    <mergeCell ref="D38:E38"/>
    <mergeCell ref="H52:J52"/>
    <mergeCell ref="A1:K1"/>
    <mergeCell ref="F21:G21"/>
    <mergeCell ref="H32:J32"/>
    <mergeCell ref="D49:E49"/>
    <mergeCell ref="D27:E27"/>
    <mergeCell ref="H47:J47"/>
    <mergeCell ref="F50:G50"/>
    <mergeCell ref="A12:B12"/>
    <mergeCell ref="A28:B29"/>
    <mergeCell ref="H24:J24"/>
    <mergeCell ref="H18:J18"/>
    <mergeCell ref="A19:B24"/>
    <mergeCell ref="D28:E28"/>
    <mergeCell ref="A14:B14"/>
    <mergeCell ref="F22:G22"/>
    <mergeCell ref="H15:J17"/>
    <mergeCell ref="H26:J26"/>
    <mergeCell ref="H53:J53"/>
    <mergeCell ref="D25:E25"/>
    <mergeCell ref="D30:E30"/>
    <mergeCell ref="H50:J50"/>
    <mergeCell ref="A52:G53"/>
    <mergeCell ref="J2:K2"/>
    <mergeCell ref="F49:G49"/>
    <mergeCell ref="D14:E14"/>
    <mergeCell ref="F14:G14"/>
    <mergeCell ref="H39:J39"/>
    <mergeCell ref="H49:J49"/>
    <mergeCell ref="A15:B17"/>
    <mergeCell ref="D40:E40"/>
    <mergeCell ref="F40:G40"/>
    <mergeCell ref="C45:J45"/>
    <mergeCell ref="D21:E21"/>
    <mergeCell ref="F24:G24"/>
    <mergeCell ref="A25:B25"/>
    <mergeCell ref="H28:J28"/>
    <mergeCell ref="F15:G17"/>
    <mergeCell ref="H37:J37"/>
    <mergeCell ref="A18:B18"/>
    <mergeCell ref="F26:G26"/>
    <mergeCell ref="H48:J48"/>
    <mergeCell ref="F38:G38"/>
    <mergeCell ref="H14:J14"/>
    <mergeCell ref="H23:J23"/>
    <mergeCell ref="A47:B47"/>
    <mergeCell ref="D18:E18"/>
    <mergeCell ref="F27:G27"/>
    <mergeCell ref="H43:J43"/>
    <mergeCell ref="F37:G37"/>
    <mergeCell ref="H41:J41"/>
    <mergeCell ref="D50:E50"/>
    <mergeCell ref="H25:J25"/>
  </mergeCells>
  <printOptions horizontalCentered="1" verticalCentered="1"/>
  <pageMargins left="0.5" right="0.5" top="0.5" bottom="0.5" header="0" footer="0"/>
  <pageSetup orientation="portrait" paperSize="9" scale="7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知伸 小玉</dc:creator>
  <dcterms:created xmlns:dcterms="http://purl.org/dc/terms/" xmlns:xsi="http://www.w3.org/2001/XMLSchema-instance" xsi:type="dcterms:W3CDTF">2024-01-12T05:21:00Z</dcterms:created>
  <dcterms:modified xmlns:dcterms="http://purl.org/dc/terms/" xmlns:xsi="http://www.w3.org/2001/XMLSchema-instance" xsi:type="dcterms:W3CDTF">2026-06-23T03:44:05Z</dcterms:modified>
  <cp:lastModifiedBy>ITLINE 小玉</cp:lastModifiedBy>
  <cp:lastPrinted>2026-06-19T03:42:33Z</cp:lastPrinted>
</cp:coreProperties>
</file>